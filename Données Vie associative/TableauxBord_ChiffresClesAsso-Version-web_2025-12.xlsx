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defaultThemeVersion="124226"/>
  <mc:AlternateContent xmlns:mc="http://schemas.openxmlformats.org/markup-compatibility/2006">
    <mc:Choice Requires="x15">
      <x15ac:absPath xmlns:x15ac="http://schemas.microsoft.com/office/spreadsheetml/2010/11/ac" url="L:\DRAJES\2-Mission vie associative\1_REGIONAL\8_OBSERVATION\INDICATEURS VA PDL\"/>
    </mc:Choice>
  </mc:AlternateContent>
  <xr:revisionPtr revIDLastSave="0" documentId="8_{5EF366AD-F762-4814-98F5-41F276DD2D88}" xr6:coauthVersionLast="47" xr6:coauthVersionMax="47" xr10:uidLastSave="{00000000-0000-0000-0000-000000000000}"/>
  <bookViews>
    <workbookView xWindow="-120" yWindow="-120" windowWidth="20730" windowHeight="11040" tabRatio="944" xr2:uid="{00000000-000D-0000-FFFF-FFFF00000000}"/>
  </bookViews>
  <sheets>
    <sheet name="Titre" sheetId="8" r:id="rId1"/>
    <sheet name="Démographie des asso" sheetId="1" r:id="rId2"/>
    <sheet name="Asso employeuses" sheetId="23" r:id="rId3"/>
    <sheet name="Compléments-Objet" sheetId="3" r:id="rId4"/>
    <sheet name="Compléments-Cat Aires Urbaines" sheetId="4" r:id="rId5"/>
    <sheet name="Subventionnement Etat" sheetId="21" r:id="rId6"/>
    <sheet name="Ann-1 - Asso dissoutes x Objet" sheetId="9" r:id="rId7"/>
    <sheet name="Ann-2 - Asso par arrondissement" sheetId="11" r:id="rId8"/>
    <sheet name="Ann-3 - Créations 2019-2022" sheetId="12" r:id="rId9"/>
    <sheet name="Ann-4 - Créations x objet" sheetId="13" r:id="rId10"/>
    <sheet name="Définitions, sources &amp; autres" sheetId="10"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L28" i="12" l="1"/>
  <c r="O28" i="12"/>
  <c r="N28" i="12"/>
  <c r="L26" i="12"/>
  <c r="M26" i="12"/>
  <c r="O26" i="12"/>
  <c r="L23" i="12"/>
  <c r="M25" i="12"/>
  <c r="N25" i="12"/>
  <c r="J18" i="11"/>
  <c r="J22" i="11"/>
  <c r="I55" i="9"/>
  <c r="I66" i="9"/>
  <c r="E66" i="9"/>
  <c r="F66" i="9"/>
  <c r="G66" i="9"/>
  <c r="H66" i="9"/>
  <c r="D66" i="9"/>
  <c r="E55" i="9"/>
  <c r="F55" i="9"/>
  <c r="G55" i="9"/>
  <c r="H55" i="9"/>
  <c r="D55" i="9"/>
  <c r="I59" i="9"/>
  <c r="I60" i="9"/>
  <c r="I61" i="9"/>
  <c r="I62" i="9"/>
  <c r="I63" i="9"/>
  <c r="I64" i="9"/>
  <c r="I65" i="9"/>
  <c r="I58" i="9"/>
  <c r="I48" i="9"/>
  <c r="I49" i="9"/>
  <c r="I50" i="9"/>
  <c r="I51" i="9"/>
  <c r="I52" i="9"/>
  <c r="I53" i="9"/>
  <c r="I54" i="9"/>
  <c r="I47" i="9"/>
  <c r="I37" i="9"/>
  <c r="I38" i="9"/>
  <c r="I39" i="9"/>
  <c r="I40" i="9"/>
  <c r="I41" i="9"/>
  <c r="I42" i="9"/>
  <c r="I43" i="9"/>
  <c r="I44" i="9"/>
  <c r="I36" i="9"/>
  <c r="I26" i="9"/>
  <c r="I27" i="9"/>
  <c r="I28" i="9"/>
  <c r="I29" i="9"/>
  <c r="I30" i="9"/>
  <c r="I31" i="9"/>
  <c r="I32" i="9"/>
  <c r="I33" i="9"/>
  <c r="I25" i="9"/>
  <c r="I15" i="9"/>
  <c r="I16" i="9"/>
  <c r="I17" i="9"/>
  <c r="I18" i="9"/>
  <c r="I19" i="9"/>
  <c r="I20" i="9"/>
  <c r="I21" i="9"/>
  <c r="I22" i="9"/>
  <c r="I14" i="9"/>
  <c r="I4" i="9"/>
  <c r="I5" i="9"/>
  <c r="I6" i="9"/>
  <c r="I7" i="9"/>
  <c r="I8" i="9"/>
  <c r="I9" i="9"/>
  <c r="I10" i="9"/>
  <c r="I11" i="9"/>
  <c r="I3" i="9"/>
  <c r="G9" i="4"/>
  <c r="G13" i="3"/>
  <c r="H5" i="3" l="1"/>
  <c r="P13" i="12"/>
  <c r="P29" i="12"/>
  <c r="O13" i="12"/>
  <c r="N12" i="12"/>
  <c r="V14" i="13"/>
  <c r="Q32" i="12"/>
  <c r="N9" i="12"/>
  <c r="I20" i="12" l="1"/>
  <c r="M7" i="11"/>
  <c r="L12" i="11"/>
  <c r="L4" i="11"/>
  <c r="K26" i="11"/>
  <c r="K23" i="11"/>
  <c r="K24" i="11"/>
  <c r="K7" i="11"/>
  <c r="K8" i="11"/>
  <c r="K9" i="11"/>
  <c r="K10" i="11"/>
  <c r="K11" i="11"/>
  <c r="K12" i="11"/>
  <c r="K13" i="11"/>
  <c r="K14" i="11"/>
  <c r="K15" i="11"/>
  <c r="K16" i="11"/>
  <c r="K17" i="11"/>
  <c r="K18" i="11"/>
  <c r="K19" i="11"/>
  <c r="K20" i="11"/>
  <c r="K21" i="11"/>
  <c r="K22" i="11"/>
  <c r="K5" i="11"/>
  <c r="K6" i="11"/>
  <c r="K4" i="11"/>
  <c r="I24" i="11" l="1"/>
  <c r="I20" i="11"/>
  <c r="I16" i="11"/>
  <c r="I12" i="11"/>
  <c r="I7" i="11"/>
  <c r="I26" i="11" l="1"/>
  <c r="V3" i="9"/>
  <c r="Q3" i="9" l="1"/>
  <c r="L58" i="9"/>
  <c r="L4" i="9"/>
  <c r="C35" i="4"/>
  <c r="D35" i="4"/>
  <c r="E35" i="4"/>
  <c r="F35" i="4"/>
  <c r="G35" i="4"/>
  <c r="H35" i="4"/>
  <c r="C21" i="3" l="1"/>
  <c r="C5" i="3"/>
  <c r="C17" i="1"/>
  <c r="C15" i="1"/>
  <c r="D15" i="1"/>
  <c r="N15" i="12" l="1"/>
  <c r="L8" i="12"/>
  <c r="O15" i="12"/>
  <c r="I4" i="12" l="1"/>
  <c r="I5" i="12"/>
  <c r="I6" i="12"/>
  <c r="I7" i="12"/>
  <c r="I8" i="12"/>
  <c r="I9" i="12"/>
  <c r="I10" i="12"/>
  <c r="I11" i="12"/>
  <c r="I12" i="12"/>
  <c r="I13" i="12"/>
  <c r="I14" i="12"/>
  <c r="I15" i="12"/>
  <c r="D16" i="12"/>
  <c r="E16" i="12"/>
  <c r="F16" i="12"/>
  <c r="G16" i="12"/>
  <c r="H16" i="12"/>
  <c r="I16" i="12" l="1"/>
  <c r="M26" i="11" l="1"/>
  <c r="M24" i="11"/>
  <c r="M20" i="11"/>
  <c r="M16" i="11"/>
  <c r="M12" i="11"/>
  <c r="H24" i="11"/>
  <c r="H20" i="11"/>
  <c r="H16" i="11"/>
  <c r="H12" i="11"/>
  <c r="H7" i="11"/>
  <c r="P28" i="9"/>
  <c r="X3" i="9"/>
  <c r="Y14" i="9"/>
  <c r="V14" i="9"/>
  <c r="L8" i="9"/>
  <c r="H11" i="9"/>
  <c r="P5" i="9" s="1"/>
  <c r="G11" i="9"/>
  <c r="O4" i="9" s="1"/>
  <c r="F11" i="9"/>
  <c r="N5" i="9" s="1"/>
  <c r="E11" i="9"/>
  <c r="M4" i="9" s="1"/>
  <c r="D11" i="9"/>
  <c r="AA10" i="9"/>
  <c r="Z10" i="9"/>
  <c r="Y10" i="9"/>
  <c r="X10" i="9"/>
  <c r="W10" i="9"/>
  <c r="V10" i="9"/>
  <c r="AA9" i="9"/>
  <c r="Z9" i="9"/>
  <c r="Y9" i="9"/>
  <c r="X9" i="9"/>
  <c r="W9" i="9"/>
  <c r="V9" i="9"/>
  <c r="AA8" i="9"/>
  <c r="Z8" i="9"/>
  <c r="Y8" i="9"/>
  <c r="X8" i="9"/>
  <c r="W8" i="9"/>
  <c r="V8" i="9"/>
  <c r="AA7" i="9"/>
  <c r="Z7" i="9"/>
  <c r="Y7" i="9"/>
  <c r="X7" i="9"/>
  <c r="W7" i="9"/>
  <c r="V7" i="9"/>
  <c r="AA6" i="9"/>
  <c r="Z6" i="9"/>
  <c r="Y6" i="9"/>
  <c r="X6" i="9"/>
  <c r="W6" i="9"/>
  <c r="V6" i="9"/>
  <c r="AA5" i="9"/>
  <c r="Z5" i="9"/>
  <c r="Y5" i="9"/>
  <c r="X5" i="9"/>
  <c r="W5" i="9"/>
  <c r="V5" i="9"/>
  <c r="AA4" i="9"/>
  <c r="Z4" i="9"/>
  <c r="Y4" i="9"/>
  <c r="X4" i="9"/>
  <c r="W4" i="9"/>
  <c r="V4" i="9"/>
  <c r="AA3" i="9"/>
  <c r="Z3" i="9"/>
  <c r="Y3" i="9"/>
  <c r="W3" i="9"/>
  <c r="P8" i="9" l="1"/>
  <c r="M7" i="9"/>
  <c r="P6" i="9"/>
  <c r="L6" i="9"/>
  <c r="M5" i="9"/>
  <c r="P4" i="9"/>
  <c r="M3" i="9"/>
  <c r="M11" i="9"/>
  <c r="P10" i="9"/>
  <c r="L10" i="9"/>
  <c r="P3" i="9"/>
  <c r="M9" i="9"/>
  <c r="O8" i="9"/>
  <c r="O3" i="9"/>
  <c r="P11" i="9"/>
  <c r="L11" i="9"/>
  <c r="N10" i="9"/>
  <c r="P9" i="9"/>
  <c r="L9" i="9"/>
  <c r="N8" i="9"/>
  <c r="P7" i="9"/>
  <c r="L7" i="9"/>
  <c r="N6" i="9"/>
  <c r="L5" i="9"/>
  <c r="N4" i="9"/>
  <c r="L3" i="9"/>
  <c r="N3" i="9"/>
  <c r="O11" i="9"/>
  <c r="M10" i="9"/>
  <c r="O9" i="9"/>
  <c r="M8" i="9"/>
  <c r="O7" i="9"/>
  <c r="M6" i="9"/>
  <c r="O5" i="9"/>
  <c r="N11" i="9"/>
  <c r="N9" i="9"/>
  <c r="N7" i="9"/>
  <c r="O10" i="9"/>
  <c r="O6" i="9"/>
  <c r="V11" i="9" l="1"/>
  <c r="Q7" i="9"/>
  <c r="Q11" i="9"/>
  <c r="Q4" i="9"/>
  <c r="Q6" i="9"/>
  <c r="Q8" i="9"/>
  <c r="Q10" i="9"/>
  <c r="Q5" i="9"/>
  <c r="Q9" i="9"/>
  <c r="AA11" i="9"/>
  <c r="Y11" i="9"/>
  <c r="W11" i="9"/>
  <c r="Z11" i="9"/>
  <c r="X11" i="9"/>
  <c r="G34" i="4" l="1"/>
  <c r="E34" i="4"/>
  <c r="H34" i="4"/>
  <c r="F34" i="4"/>
  <c r="D34" i="4"/>
  <c r="C34" i="4"/>
  <c r="H3" i="1" l="1"/>
  <c r="D6" i="23"/>
  <c r="E6" i="23"/>
  <c r="F6" i="23"/>
  <c r="G6" i="23"/>
  <c r="C6" i="23"/>
  <c r="I15" i="23"/>
  <c r="G15" i="23"/>
  <c r="F15" i="23"/>
  <c r="E15" i="23"/>
  <c r="D15" i="23"/>
  <c r="C15" i="23"/>
  <c r="I14" i="23"/>
  <c r="G14" i="23"/>
  <c r="F14" i="23"/>
  <c r="E14" i="23"/>
  <c r="D14" i="23"/>
  <c r="C14" i="23"/>
  <c r="H12" i="23"/>
  <c r="H14" i="23" s="1"/>
  <c r="I10" i="23"/>
  <c r="G10" i="23"/>
  <c r="F10" i="23"/>
  <c r="E10" i="23"/>
  <c r="D10" i="23"/>
  <c r="C10" i="23"/>
  <c r="H7" i="23"/>
  <c r="H10" i="23" s="1"/>
  <c r="H3" i="23"/>
  <c r="D4" i="1" l="1"/>
  <c r="C4" i="1"/>
  <c r="H15" i="23"/>
  <c r="V11" i="13" l="1"/>
  <c r="V27" i="13" s="1"/>
  <c r="L4" i="12" l="1"/>
  <c r="L20" i="12" s="1"/>
  <c r="J4" i="11"/>
  <c r="AA21" i="9" l="1"/>
  <c r="Z20" i="9"/>
  <c r="AA19" i="9"/>
  <c r="AA18" i="9"/>
  <c r="AA17" i="9"/>
  <c r="AA16" i="9"/>
  <c r="AA15" i="9"/>
  <c r="V21" i="9"/>
  <c r="AA20" i="9"/>
  <c r="Y20" i="9"/>
  <c r="X20" i="9"/>
  <c r="W20" i="9"/>
  <c r="V20" i="9"/>
  <c r="V18" i="9"/>
  <c r="AA14" i="9"/>
  <c r="Z14" i="9"/>
  <c r="X14" i="9"/>
  <c r="W14" i="9"/>
  <c r="M17" i="9" l="1"/>
  <c r="M21" i="9"/>
  <c r="M14" i="9"/>
  <c r="M18" i="9"/>
  <c r="M22" i="9"/>
  <c r="M15" i="9"/>
  <c r="M19" i="9"/>
  <c r="M16" i="9"/>
  <c r="M20" i="9"/>
  <c r="N16" i="9"/>
  <c r="N20" i="9"/>
  <c r="N17" i="9"/>
  <c r="N21" i="9"/>
  <c r="N14" i="9"/>
  <c r="N18" i="9"/>
  <c r="N15" i="9"/>
  <c r="N19" i="9"/>
  <c r="N22" i="9"/>
  <c r="O15" i="9"/>
  <c r="O19" i="9"/>
  <c r="O16" i="9"/>
  <c r="O17" i="9"/>
  <c r="O21" i="9"/>
  <c r="O14" i="9"/>
  <c r="O22" i="9"/>
  <c r="O20" i="9"/>
  <c r="O18" i="9"/>
  <c r="L17" i="9"/>
  <c r="L21" i="9"/>
  <c r="L18" i="9"/>
  <c r="L22" i="9"/>
  <c r="L15" i="9"/>
  <c r="L14" i="9"/>
  <c r="L20" i="9"/>
  <c r="L19" i="9"/>
  <c r="L16" i="9"/>
  <c r="P14" i="9"/>
  <c r="P18" i="9"/>
  <c r="P22" i="9"/>
  <c r="P15" i="9"/>
  <c r="P19" i="9"/>
  <c r="P16" i="9"/>
  <c r="P20" i="9"/>
  <c r="P17" i="9"/>
  <c r="P21" i="9"/>
  <c r="W17" i="9"/>
  <c r="Y17" i="9"/>
  <c r="Z17" i="9"/>
  <c r="V19" i="9"/>
  <c r="V17" i="9"/>
  <c r="V16" i="9"/>
  <c r="W19" i="9"/>
  <c r="Y19" i="9"/>
  <c r="W15" i="9"/>
  <c r="W16" i="9"/>
  <c r="W18" i="9"/>
  <c r="W21" i="9"/>
  <c r="W22" i="9"/>
  <c r="X15" i="9"/>
  <c r="X16" i="9"/>
  <c r="X17" i="9"/>
  <c r="X18" i="9"/>
  <c r="X19" i="9"/>
  <c r="X21" i="9"/>
  <c r="X22" i="9"/>
  <c r="V15" i="9"/>
  <c r="Y18" i="9"/>
  <c r="Z15" i="9"/>
  <c r="Z16" i="9"/>
  <c r="Z18" i="9"/>
  <c r="Z19" i="9"/>
  <c r="Z21" i="9"/>
  <c r="Z22" i="9"/>
  <c r="V22" i="9"/>
  <c r="Y15" i="9"/>
  <c r="Y16" i="9"/>
  <c r="Y21" i="9"/>
  <c r="Y22" i="9"/>
  <c r="AA22" i="9" l="1"/>
  <c r="Q17" i="9"/>
  <c r="Q21" i="9"/>
  <c r="Q14" i="9"/>
  <c r="Q18" i="9"/>
  <c r="Q22" i="9"/>
  <c r="Q15" i="9"/>
  <c r="Q19" i="9"/>
  <c r="Q20" i="9"/>
  <c r="Q16" i="9"/>
  <c r="K3" i="4"/>
  <c r="P11" i="13" l="1"/>
  <c r="P27" i="13" s="1"/>
  <c r="O11" i="13"/>
  <c r="O27" i="13" s="1"/>
  <c r="R11" i="13"/>
  <c r="R27" i="13" s="1"/>
  <c r="O13" i="13"/>
  <c r="O29" i="13" s="1"/>
  <c r="P13" i="13"/>
  <c r="P29" i="13" s="1"/>
  <c r="Q13" i="13"/>
  <c r="Q29" i="13" s="1"/>
  <c r="R13" i="13"/>
  <c r="R29" i="13" s="1"/>
  <c r="S13" i="13"/>
  <c r="S29" i="13" s="1"/>
  <c r="T13" i="13"/>
  <c r="T29" i="13" s="1"/>
  <c r="U13" i="13"/>
  <c r="U29" i="13" s="1"/>
  <c r="V13" i="13"/>
  <c r="V29" i="13" s="1"/>
  <c r="O14" i="13"/>
  <c r="O30" i="13" s="1"/>
  <c r="P14" i="13"/>
  <c r="P30" i="13" s="1"/>
  <c r="Q14" i="13"/>
  <c r="Q30" i="13" s="1"/>
  <c r="R14" i="13"/>
  <c r="R30" i="13" s="1"/>
  <c r="S14" i="13"/>
  <c r="S30" i="13" s="1"/>
  <c r="T14" i="13"/>
  <c r="T30" i="13" s="1"/>
  <c r="U14" i="13"/>
  <c r="U30" i="13" s="1"/>
  <c r="V30" i="13"/>
  <c r="O15" i="13"/>
  <c r="O31" i="13" s="1"/>
  <c r="P15" i="13"/>
  <c r="P31" i="13" s="1"/>
  <c r="Q15" i="13"/>
  <c r="Q31" i="13" s="1"/>
  <c r="R15" i="13"/>
  <c r="R31" i="13" s="1"/>
  <c r="S15" i="13"/>
  <c r="S31" i="13" s="1"/>
  <c r="T15" i="13"/>
  <c r="T31" i="13" s="1"/>
  <c r="U15" i="13"/>
  <c r="U31" i="13" s="1"/>
  <c r="V15" i="13"/>
  <c r="V31" i="13" s="1"/>
  <c r="O5" i="13"/>
  <c r="O21" i="13" s="1"/>
  <c r="O6" i="13"/>
  <c r="O22" i="13" s="1"/>
  <c r="O7" i="13"/>
  <c r="O23" i="13" s="1"/>
  <c r="O8" i="13"/>
  <c r="O24" i="13" s="1"/>
  <c r="O9" i="13"/>
  <c r="O25" i="13" s="1"/>
  <c r="O10" i="13"/>
  <c r="O26" i="13" s="1"/>
  <c r="O12" i="13"/>
  <c r="O28" i="13" s="1"/>
  <c r="E32" i="13"/>
  <c r="F32" i="13"/>
  <c r="G32" i="13"/>
  <c r="H32" i="13"/>
  <c r="I32" i="13"/>
  <c r="J32" i="13"/>
  <c r="K32" i="13"/>
  <c r="D32" i="13"/>
  <c r="E16" i="13"/>
  <c r="F16" i="13"/>
  <c r="G16" i="13"/>
  <c r="H16" i="13"/>
  <c r="S16" i="13" s="1"/>
  <c r="S32" i="13" s="1"/>
  <c r="I16" i="13"/>
  <c r="T16" i="13" s="1"/>
  <c r="T32" i="13" s="1"/>
  <c r="J16" i="13"/>
  <c r="K16" i="13"/>
  <c r="D16" i="13"/>
  <c r="L5" i="13"/>
  <c r="L6" i="13"/>
  <c r="L7" i="13"/>
  <c r="L8" i="13"/>
  <c r="L9" i="13"/>
  <c r="L10" i="13"/>
  <c r="L11" i="13"/>
  <c r="L12" i="13"/>
  <c r="L13" i="13"/>
  <c r="L14" i="13"/>
  <c r="L15" i="13"/>
  <c r="L13" i="12"/>
  <c r="L29" i="12" s="1"/>
  <c r="M13" i="12"/>
  <c r="M29" i="12" s="1"/>
  <c r="N13" i="12"/>
  <c r="N29" i="12" s="1"/>
  <c r="O29" i="12"/>
  <c r="L14" i="12"/>
  <c r="L30" i="12" s="1"/>
  <c r="M14" i="12"/>
  <c r="M30" i="12" s="1"/>
  <c r="N14" i="12"/>
  <c r="N30" i="12" s="1"/>
  <c r="O14" i="12"/>
  <c r="O30" i="12" s="1"/>
  <c r="P14" i="12"/>
  <c r="P30" i="12" s="1"/>
  <c r="L15" i="12"/>
  <c r="L31" i="12" s="1"/>
  <c r="M15" i="12"/>
  <c r="M31" i="12" s="1"/>
  <c r="N31" i="12"/>
  <c r="O31" i="12"/>
  <c r="P15" i="12"/>
  <c r="P31" i="12" s="1"/>
  <c r="E32" i="12"/>
  <c r="M16" i="12" s="1"/>
  <c r="M32" i="12" s="1"/>
  <c r="F32" i="12"/>
  <c r="G32" i="12"/>
  <c r="H32" i="12"/>
  <c r="D32" i="12"/>
  <c r="L16" i="12" s="1"/>
  <c r="L32" i="12" s="1"/>
  <c r="J23" i="11"/>
  <c r="J24" i="11"/>
  <c r="J21" i="11"/>
  <c r="J19" i="11"/>
  <c r="J20" i="11"/>
  <c r="J17" i="11"/>
  <c r="J14" i="11"/>
  <c r="J15" i="11"/>
  <c r="J16" i="11"/>
  <c r="J13" i="11"/>
  <c r="J10" i="11"/>
  <c r="J11" i="11"/>
  <c r="J9" i="11"/>
  <c r="J12" i="11"/>
  <c r="J8" i="11"/>
  <c r="J5" i="11"/>
  <c r="J6" i="11"/>
  <c r="J7" i="11"/>
  <c r="H26" i="11"/>
  <c r="L26" i="11" s="1"/>
  <c r="P16" i="13" l="1"/>
  <c r="P32" i="13" s="1"/>
  <c r="P16" i="12"/>
  <c r="P32" i="12" s="1"/>
  <c r="O16" i="13"/>
  <c r="O32" i="13" s="1"/>
  <c r="Q16" i="13"/>
  <c r="Q32" i="13" s="1"/>
  <c r="U16" i="13"/>
  <c r="U32" i="13" s="1"/>
  <c r="V16" i="13"/>
  <c r="V32" i="13" s="1"/>
  <c r="R16" i="13"/>
  <c r="R32" i="13" s="1"/>
  <c r="N16" i="12"/>
  <c r="N32" i="12" s="1"/>
  <c r="O16" i="12"/>
  <c r="O32" i="12" s="1"/>
  <c r="N28" i="9" l="1"/>
  <c r="L3" i="4"/>
  <c r="P4" i="13" l="1"/>
  <c r="P20" i="13" s="1"/>
  <c r="Q4" i="13"/>
  <c r="Q20" i="13" s="1"/>
  <c r="R4" i="13"/>
  <c r="R20" i="13" s="1"/>
  <c r="S4" i="13"/>
  <c r="S20" i="13" s="1"/>
  <c r="T4" i="13"/>
  <c r="T20" i="13" s="1"/>
  <c r="U4" i="13"/>
  <c r="U20" i="13" s="1"/>
  <c r="V4" i="13"/>
  <c r="V20" i="13" s="1"/>
  <c r="P5" i="13"/>
  <c r="P21" i="13" s="1"/>
  <c r="Q5" i="13"/>
  <c r="Q21" i="13" s="1"/>
  <c r="R5" i="13"/>
  <c r="R21" i="13" s="1"/>
  <c r="S5" i="13"/>
  <c r="S21" i="13" s="1"/>
  <c r="T5" i="13"/>
  <c r="T21" i="13" s="1"/>
  <c r="U5" i="13"/>
  <c r="U21" i="13" s="1"/>
  <c r="V5" i="13"/>
  <c r="V21" i="13" s="1"/>
  <c r="P6" i="13"/>
  <c r="P22" i="13" s="1"/>
  <c r="Q6" i="13"/>
  <c r="Q22" i="13" s="1"/>
  <c r="R6" i="13"/>
  <c r="R22" i="13" s="1"/>
  <c r="S6" i="13"/>
  <c r="S22" i="13" s="1"/>
  <c r="T6" i="13"/>
  <c r="T22" i="13" s="1"/>
  <c r="U6" i="13"/>
  <c r="U22" i="13" s="1"/>
  <c r="V6" i="13"/>
  <c r="V22" i="13" s="1"/>
  <c r="P7" i="13"/>
  <c r="P23" i="13" s="1"/>
  <c r="Q7" i="13"/>
  <c r="Q23" i="13" s="1"/>
  <c r="R7" i="13"/>
  <c r="R23" i="13" s="1"/>
  <c r="S7" i="13"/>
  <c r="S23" i="13" s="1"/>
  <c r="T7" i="13"/>
  <c r="T23" i="13" s="1"/>
  <c r="U7" i="13"/>
  <c r="U23" i="13" s="1"/>
  <c r="V7" i="13"/>
  <c r="V23" i="13" s="1"/>
  <c r="P8" i="13"/>
  <c r="P24" i="13" s="1"/>
  <c r="Q8" i="13"/>
  <c r="Q24" i="13" s="1"/>
  <c r="R8" i="13"/>
  <c r="R24" i="13" s="1"/>
  <c r="S8" i="13"/>
  <c r="S24" i="13" s="1"/>
  <c r="T8" i="13"/>
  <c r="T24" i="13" s="1"/>
  <c r="U8" i="13"/>
  <c r="U24" i="13" s="1"/>
  <c r="V8" i="13"/>
  <c r="V24" i="13" s="1"/>
  <c r="P9" i="13"/>
  <c r="P25" i="13" s="1"/>
  <c r="Q9" i="13"/>
  <c r="Q25" i="13" s="1"/>
  <c r="R9" i="13"/>
  <c r="R25" i="13" s="1"/>
  <c r="S9" i="13"/>
  <c r="S25" i="13" s="1"/>
  <c r="T9" i="13"/>
  <c r="T25" i="13" s="1"/>
  <c r="U9" i="13"/>
  <c r="U25" i="13" s="1"/>
  <c r="V9" i="13"/>
  <c r="V25" i="13" s="1"/>
  <c r="P10" i="13"/>
  <c r="P26" i="13" s="1"/>
  <c r="Q10" i="13"/>
  <c r="Q26" i="13" s="1"/>
  <c r="R10" i="13"/>
  <c r="R26" i="13" s="1"/>
  <c r="S10" i="13"/>
  <c r="S26" i="13" s="1"/>
  <c r="T10" i="13"/>
  <c r="T26" i="13" s="1"/>
  <c r="U10" i="13"/>
  <c r="U26" i="13" s="1"/>
  <c r="V10" i="13"/>
  <c r="V26" i="13" s="1"/>
  <c r="Q11" i="13"/>
  <c r="Q27" i="13" s="1"/>
  <c r="S11" i="13"/>
  <c r="S27" i="13" s="1"/>
  <c r="T11" i="13"/>
  <c r="T27" i="13" s="1"/>
  <c r="U11" i="13"/>
  <c r="U27" i="13" s="1"/>
  <c r="P12" i="13"/>
  <c r="P28" i="13" s="1"/>
  <c r="Q12" i="13"/>
  <c r="Q28" i="13" s="1"/>
  <c r="R12" i="13"/>
  <c r="R28" i="13" s="1"/>
  <c r="S12" i="13"/>
  <c r="S28" i="13" s="1"/>
  <c r="T12" i="13"/>
  <c r="T28" i="13" s="1"/>
  <c r="U12" i="13"/>
  <c r="U28" i="13" s="1"/>
  <c r="V12" i="13"/>
  <c r="V28" i="13" s="1"/>
  <c r="O4" i="13"/>
  <c r="O20" i="13" s="1"/>
  <c r="L20" i="13"/>
  <c r="L21" i="13"/>
  <c r="L22" i="13"/>
  <c r="L23" i="13"/>
  <c r="L24" i="13"/>
  <c r="L25" i="13"/>
  <c r="L26" i="13"/>
  <c r="L27" i="13"/>
  <c r="L28" i="13"/>
  <c r="L29" i="13"/>
  <c r="W13" i="13" s="1"/>
  <c r="W29" i="13" s="1"/>
  <c r="L30" i="13"/>
  <c r="W14" i="13" s="1"/>
  <c r="W30" i="13" s="1"/>
  <c r="L31" i="13"/>
  <c r="W15" i="13" s="1"/>
  <c r="W31" i="13" s="1"/>
  <c r="L4" i="13"/>
  <c r="L5" i="12"/>
  <c r="L21" i="12" s="1"/>
  <c r="M5" i="12"/>
  <c r="M21" i="12" s="1"/>
  <c r="N5" i="12"/>
  <c r="N21" i="12" s="1"/>
  <c r="O5" i="12"/>
  <c r="O21" i="12" s="1"/>
  <c r="P5" i="12"/>
  <c r="P21" i="12" s="1"/>
  <c r="L6" i="12"/>
  <c r="L22" i="12" s="1"/>
  <c r="M6" i="12"/>
  <c r="M22" i="12" s="1"/>
  <c r="N6" i="12"/>
  <c r="N22" i="12" s="1"/>
  <c r="O6" i="12"/>
  <c r="O22" i="12" s="1"/>
  <c r="P6" i="12"/>
  <c r="P22" i="12" s="1"/>
  <c r="L7" i="12"/>
  <c r="M7" i="12"/>
  <c r="N7" i="12"/>
  <c r="O7" i="12"/>
  <c r="P7" i="12"/>
  <c r="L24" i="12"/>
  <c r="M8" i="12"/>
  <c r="M24" i="12" s="1"/>
  <c r="N8" i="12"/>
  <c r="N24" i="12" s="1"/>
  <c r="O8" i="12"/>
  <c r="O24" i="12" s="1"/>
  <c r="P8" i="12"/>
  <c r="P24" i="12" s="1"/>
  <c r="L9" i="12"/>
  <c r="L25" i="12" s="1"/>
  <c r="M9" i="12"/>
  <c r="O9" i="12"/>
  <c r="O25" i="12" s="1"/>
  <c r="P9" i="12"/>
  <c r="P25" i="12" s="1"/>
  <c r="L10" i="12"/>
  <c r="M10" i="12"/>
  <c r="N10" i="12"/>
  <c r="N26" i="12" s="1"/>
  <c r="O10" i="12"/>
  <c r="P10" i="12"/>
  <c r="P26" i="12" s="1"/>
  <c r="L11" i="12"/>
  <c r="L27" i="12" s="1"/>
  <c r="M11" i="12"/>
  <c r="M27" i="12" s="1"/>
  <c r="N11" i="12"/>
  <c r="N27" i="12" s="1"/>
  <c r="O11" i="12"/>
  <c r="O27" i="12" s="1"/>
  <c r="P11" i="12"/>
  <c r="P27" i="12" s="1"/>
  <c r="L12" i="12"/>
  <c r="M12" i="12"/>
  <c r="M28" i="12" s="1"/>
  <c r="O12" i="12"/>
  <c r="P12" i="12"/>
  <c r="P28" i="12" s="1"/>
  <c r="M4" i="12"/>
  <c r="M20" i="12" s="1"/>
  <c r="N4" i="12"/>
  <c r="N20" i="12" s="1"/>
  <c r="O4" i="12"/>
  <c r="O20" i="12" s="1"/>
  <c r="P4" i="12"/>
  <c r="P20" i="12" s="1"/>
  <c r="I21" i="12"/>
  <c r="I22" i="12"/>
  <c r="Q6" i="12" s="1"/>
  <c r="I23" i="12"/>
  <c r="I24" i="12"/>
  <c r="I25" i="12"/>
  <c r="I26" i="12"/>
  <c r="I27" i="12"/>
  <c r="I28" i="12"/>
  <c r="I29" i="12"/>
  <c r="Q13" i="12" s="1"/>
  <c r="Q29" i="12" s="1"/>
  <c r="I30" i="12"/>
  <c r="Q14" i="12" s="1"/>
  <c r="Q30" i="12" s="1"/>
  <c r="I31" i="12"/>
  <c r="Q15" i="12" s="1"/>
  <c r="Q31" i="12" s="1"/>
  <c r="L32" i="13" l="1"/>
  <c r="W4" i="13"/>
  <c r="W20" i="13" s="1"/>
  <c r="L16" i="13"/>
  <c r="W16" i="13" s="1"/>
  <c r="W12" i="13"/>
  <c r="W28" i="13" s="1"/>
  <c r="W11" i="13"/>
  <c r="W27" i="13" s="1"/>
  <c r="W7" i="13"/>
  <c r="W23" i="13" s="1"/>
  <c r="W8" i="13"/>
  <c r="W24" i="13" s="1"/>
  <c r="W10" i="13"/>
  <c r="W26" i="13" s="1"/>
  <c r="W6" i="13"/>
  <c r="W22" i="13" s="1"/>
  <c r="W9" i="13"/>
  <c r="W25" i="13" s="1"/>
  <c r="W5" i="13"/>
  <c r="W21" i="13" s="1"/>
  <c r="I32" i="12"/>
  <c r="Q16" i="12" s="1"/>
  <c r="P23" i="12"/>
  <c r="O23" i="12"/>
  <c r="M23" i="12"/>
  <c r="N23" i="12"/>
  <c r="Q9" i="12"/>
  <c r="Q25" i="12" s="1"/>
  <c r="Q8" i="12"/>
  <c r="Q24" i="12" s="1"/>
  <c r="Q5" i="12"/>
  <c r="Q21" i="12" s="1"/>
  <c r="Q12" i="12"/>
  <c r="Q28" i="12" s="1"/>
  <c r="Q10" i="12"/>
  <c r="Q26" i="12" s="1"/>
  <c r="Q22" i="12"/>
  <c r="Q11" i="12"/>
  <c r="Q27" i="12" s="1"/>
  <c r="Q7" i="12"/>
  <c r="Q4" i="12"/>
  <c r="Q20" i="12" s="1"/>
  <c r="L5" i="11"/>
  <c r="L6" i="11"/>
  <c r="L8" i="11"/>
  <c r="L9" i="11"/>
  <c r="L10" i="11"/>
  <c r="L11" i="11"/>
  <c r="L13" i="11"/>
  <c r="L14" i="11"/>
  <c r="L15" i="11"/>
  <c r="L17" i="11"/>
  <c r="L18" i="11"/>
  <c r="L19" i="11"/>
  <c r="L21" i="11"/>
  <c r="L22" i="11"/>
  <c r="L23" i="11"/>
  <c r="L24" i="11"/>
  <c r="W32" i="13" l="1"/>
  <c r="Q23" i="12"/>
  <c r="L16" i="11"/>
  <c r="L20" i="11"/>
  <c r="L7" i="11"/>
  <c r="M33" i="9"/>
  <c r="L26" i="9"/>
  <c r="M26" i="9"/>
  <c r="N26" i="9"/>
  <c r="O26" i="9"/>
  <c r="P26" i="9"/>
  <c r="L27" i="9"/>
  <c r="M27" i="9"/>
  <c r="N27" i="9"/>
  <c r="O27" i="9"/>
  <c r="P27" i="9"/>
  <c r="L28" i="9"/>
  <c r="M28" i="9"/>
  <c r="O28" i="9"/>
  <c r="L29" i="9"/>
  <c r="M29" i="9"/>
  <c r="N29" i="9"/>
  <c r="O29" i="9"/>
  <c r="P29" i="9"/>
  <c r="L30" i="9"/>
  <c r="M30" i="9"/>
  <c r="N30" i="9"/>
  <c r="O30" i="9"/>
  <c r="P30" i="9"/>
  <c r="L31" i="9"/>
  <c r="M31" i="9"/>
  <c r="N31" i="9"/>
  <c r="O31" i="9"/>
  <c r="P31" i="9"/>
  <c r="L32" i="9"/>
  <c r="M32" i="9"/>
  <c r="N32" i="9"/>
  <c r="O32" i="9"/>
  <c r="P32" i="9"/>
  <c r="M25" i="9"/>
  <c r="N25" i="9"/>
  <c r="O25" i="9"/>
  <c r="P25" i="9"/>
  <c r="L25" i="9"/>
  <c r="N33" i="9"/>
  <c r="O33" i="9"/>
  <c r="P33" i="9"/>
  <c r="L33" i="9"/>
  <c r="AA32" i="9"/>
  <c r="X31" i="9"/>
  <c r="W30" i="9"/>
  <c r="W29" i="9"/>
  <c r="AA28" i="9"/>
  <c r="Y26" i="9"/>
  <c r="V25" i="9"/>
  <c r="X27" i="9" l="1"/>
  <c r="Y27" i="9"/>
  <c r="W25" i="9"/>
  <c r="Z26" i="9"/>
  <c r="V26" i="9"/>
  <c r="Z31" i="9"/>
  <c r="V27" i="9"/>
  <c r="V30" i="9"/>
  <c r="X32" i="9"/>
  <c r="Y32" i="9"/>
  <c r="Z30" i="9"/>
  <c r="V31" i="9"/>
  <c r="Y28" i="9"/>
  <c r="Z27" i="9"/>
  <c r="X28" i="9"/>
  <c r="Y31" i="9"/>
  <c r="AA25" i="9"/>
  <c r="X25" i="9"/>
  <c r="W26" i="9"/>
  <c r="X29" i="9"/>
  <c r="AA30" i="9"/>
  <c r="Q26" i="9"/>
  <c r="Y25" i="9"/>
  <c r="X26" i="9"/>
  <c r="W27" i="9"/>
  <c r="AA27" i="9"/>
  <c r="V28" i="9"/>
  <c r="Z28" i="9"/>
  <c r="Y29" i="9"/>
  <c r="X30" i="9"/>
  <c r="W31" i="9"/>
  <c r="AA31" i="9"/>
  <c r="V32" i="9"/>
  <c r="Z32" i="9"/>
  <c r="AA29" i="9"/>
  <c r="AA26" i="9"/>
  <c r="Z25" i="9"/>
  <c r="W28" i="9"/>
  <c r="V29" i="9"/>
  <c r="Z29" i="9"/>
  <c r="Y30" i="9"/>
  <c r="W32" i="9"/>
  <c r="M3" i="4"/>
  <c r="M3" i="3"/>
  <c r="Q25" i="9" l="1"/>
  <c r="Q28" i="9"/>
  <c r="Q32" i="9"/>
  <c r="Z33" i="9"/>
  <c r="W33" i="9"/>
  <c r="Q29" i="9"/>
  <c r="Q31" i="9"/>
  <c r="Q33" i="9"/>
  <c r="Q27" i="9"/>
  <c r="Q30" i="9"/>
  <c r="X33" i="9"/>
  <c r="V33" i="9"/>
  <c r="AA33" i="9"/>
  <c r="Y33" i="9"/>
  <c r="P66" i="9" l="1"/>
  <c r="O62" i="9"/>
  <c r="L66" i="9"/>
  <c r="N63" i="9"/>
  <c r="N60" i="9"/>
  <c r="L59" i="9"/>
  <c r="P54" i="9"/>
  <c r="O51" i="9"/>
  <c r="N48" i="9"/>
  <c r="M52" i="9"/>
  <c r="L55" i="9"/>
  <c r="O53" i="9"/>
  <c r="L52" i="9"/>
  <c r="P49" i="9"/>
  <c r="M48" i="9"/>
  <c r="M47" i="9"/>
  <c r="P41" i="9"/>
  <c r="L39" i="9"/>
  <c r="M40" i="9"/>
  <c r="L38" i="9"/>
  <c r="L37" i="9"/>
  <c r="O54" i="9" l="1"/>
  <c r="P60" i="9"/>
  <c r="P40" i="9"/>
  <c r="P43" i="9"/>
  <c r="P39" i="9"/>
  <c r="P38" i="9"/>
  <c r="N42" i="9"/>
  <c r="N39" i="9"/>
  <c r="L63" i="9"/>
  <c r="P64" i="9"/>
  <c r="L60" i="9"/>
  <c r="P61" i="9"/>
  <c r="P63" i="9"/>
  <c r="P65" i="9"/>
  <c r="P47" i="9"/>
  <c r="P48" i="9"/>
  <c r="L51" i="9"/>
  <c r="P52" i="9"/>
  <c r="P55" i="9"/>
  <c r="L50" i="9"/>
  <c r="P51" i="9"/>
  <c r="P53" i="9"/>
  <c r="L47" i="9"/>
  <c r="L48" i="9"/>
  <c r="L49" i="9"/>
  <c r="P50" i="9"/>
  <c r="L42" i="9"/>
  <c r="L36" i="9"/>
  <c r="P37" i="9"/>
  <c r="L40" i="9"/>
  <c r="L41" i="9"/>
  <c r="P42" i="9"/>
  <c r="P44" i="9"/>
  <c r="O52" i="9"/>
  <c r="O59" i="9"/>
  <c r="L61" i="9"/>
  <c r="L62" i="9"/>
  <c r="L64" i="9"/>
  <c r="L65" i="9"/>
  <c r="Q59" i="9"/>
  <c r="P36" i="9"/>
  <c r="O55" i="9"/>
  <c r="P58" i="9"/>
  <c r="P59" i="9"/>
  <c r="O60" i="9"/>
  <c r="O61" i="9"/>
  <c r="P62" i="9"/>
  <c r="O63" i="9"/>
  <c r="O64" i="9"/>
  <c r="O65" i="9"/>
  <c r="O66" i="9"/>
  <c r="M58" i="9"/>
  <c r="M59" i="9"/>
  <c r="M51" i="9"/>
  <c r="V37" i="9"/>
  <c r="W37" i="9"/>
  <c r="AA37" i="9"/>
  <c r="Y37" i="9"/>
  <c r="Z37" i="9"/>
  <c r="X37" i="9"/>
  <c r="W39" i="9"/>
  <c r="AA39" i="9"/>
  <c r="X39" i="9"/>
  <c r="Z39" i="9"/>
  <c r="Y39" i="9"/>
  <c r="V39" i="9"/>
  <c r="Y42" i="9"/>
  <c r="Z42" i="9"/>
  <c r="AA42" i="9"/>
  <c r="V42" i="9"/>
  <c r="W42" i="9"/>
  <c r="X42" i="9"/>
  <c r="O40" i="9"/>
  <c r="V36" i="9"/>
  <c r="W36" i="9"/>
  <c r="X36" i="9"/>
  <c r="Y36" i="9"/>
  <c r="Z36" i="9"/>
  <c r="AA36" i="9"/>
  <c r="W43" i="9"/>
  <c r="AA43" i="9"/>
  <c r="Y43" i="9"/>
  <c r="V43" i="9"/>
  <c r="X43" i="9"/>
  <c r="Z43" i="9"/>
  <c r="Y40" i="9"/>
  <c r="Z40" i="9"/>
  <c r="W40" i="9"/>
  <c r="V40" i="9"/>
  <c r="AA40" i="9"/>
  <c r="X40" i="9"/>
  <c r="O37" i="9"/>
  <c r="O38" i="9"/>
  <c r="O39" i="9"/>
  <c r="O41" i="9"/>
  <c r="L43" i="9"/>
  <c r="M41" i="9"/>
  <c r="L44" i="9"/>
  <c r="X38" i="9"/>
  <c r="Y38" i="9"/>
  <c r="Z38" i="9"/>
  <c r="AA38" i="9"/>
  <c r="V38" i="9"/>
  <c r="W38" i="9"/>
  <c r="Z41" i="9"/>
  <c r="W41" i="9"/>
  <c r="AA41" i="9"/>
  <c r="X41" i="9"/>
  <c r="Y41" i="9"/>
  <c r="V41" i="9"/>
  <c r="O42" i="9"/>
  <c r="O43" i="9"/>
  <c r="N37" i="9"/>
  <c r="O44" i="9"/>
  <c r="M37" i="9"/>
  <c r="M62" i="9"/>
  <c r="O48" i="9"/>
  <c r="O49" i="9"/>
  <c r="O50" i="9"/>
  <c r="L53" i="9"/>
  <c r="L54" i="9"/>
  <c r="M63" i="9"/>
  <c r="Y44" i="9"/>
  <c r="N55" i="9"/>
  <c r="N54" i="9"/>
  <c r="N50" i="9"/>
  <c r="N51" i="9"/>
  <c r="N47" i="9"/>
  <c r="N52" i="9"/>
  <c r="N64" i="9"/>
  <c r="N66" i="9"/>
  <c r="N65" i="9"/>
  <c r="N61" i="9"/>
  <c r="N62" i="9"/>
  <c r="N58" i="9"/>
  <c r="N49" i="9"/>
  <c r="M42" i="9"/>
  <c r="M38" i="9"/>
  <c r="M44" i="9"/>
  <c r="M43" i="9"/>
  <c r="M39" i="9"/>
  <c r="Q63" i="9"/>
  <c r="N44" i="9"/>
  <c r="N43" i="9"/>
  <c r="N40" i="9"/>
  <c r="N36" i="9"/>
  <c r="N41" i="9"/>
  <c r="M36" i="9"/>
  <c r="N38" i="9"/>
  <c r="N53" i="9"/>
  <c r="M53" i="9"/>
  <c r="M49" i="9"/>
  <c r="M55" i="9"/>
  <c r="M54" i="9"/>
  <c r="M50" i="9"/>
  <c r="Q54" i="9"/>
  <c r="Q58" i="9"/>
  <c r="N59" i="9"/>
  <c r="Q65" i="9"/>
  <c r="M61" i="9"/>
  <c r="M65" i="9"/>
  <c r="M66" i="9"/>
  <c r="O36" i="9"/>
  <c r="O47" i="9"/>
  <c r="O58" i="9"/>
  <c r="M60" i="9"/>
  <c r="M64" i="9"/>
  <c r="Q39" i="9" l="1"/>
  <c r="Q43" i="9"/>
  <c r="Q64" i="9"/>
  <c r="Q61" i="9"/>
  <c r="Q62" i="9"/>
  <c r="Q60" i="9"/>
  <c r="Q66" i="9"/>
  <c r="W44" i="9"/>
  <c r="V44" i="9"/>
  <c r="Q42" i="9"/>
  <c r="Q50" i="9"/>
  <c r="X44" i="9"/>
  <c r="Z44" i="9"/>
  <c r="AA44" i="9"/>
  <c r="Q49" i="9"/>
  <c r="Q55" i="9"/>
  <c r="Q48" i="9"/>
  <c r="Q52" i="9"/>
  <c r="Q51" i="9"/>
  <c r="Q47" i="9"/>
  <c r="Q53" i="9"/>
  <c r="Q44" i="9"/>
  <c r="Q40" i="9"/>
  <c r="Q41" i="9"/>
  <c r="Q36" i="9"/>
  <c r="Q37" i="9"/>
  <c r="Q38" i="9"/>
  <c r="D27" i="4" l="1"/>
  <c r="G18" i="4"/>
  <c r="E18" i="4" l="1"/>
  <c r="E29" i="3"/>
  <c r="D33" i="3"/>
  <c r="C18" i="4"/>
  <c r="F29" i="3"/>
  <c r="C13" i="3"/>
  <c r="D5" i="3"/>
  <c r="G21" i="3"/>
  <c r="D12" i="4"/>
  <c r="E30" i="4"/>
  <c r="E21" i="4"/>
  <c r="E6" i="4"/>
  <c r="E27" i="4"/>
  <c r="E17" i="3"/>
  <c r="E25" i="3"/>
  <c r="G21" i="4"/>
  <c r="G6" i="4"/>
  <c r="F21" i="4"/>
  <c r="F15" i="4"/>
  <c r="F27" i="4"/>
  <c r="F9" i="4"/>
  <c r="G5" i="3"/>
  <c r="D9" i="3"/>
  <c r="F13" i="3"/>
  <c r="C9" i="3"/>
  <c r="F17" i="3"/>
  <c r="F21" i="3"/>
  <c r="D25" i="3"/>
  <c r="C33" i="3"/>
  <c r="G33" i="3"/>
  <c r="E12" i="4"/>
  <c r="G27" i="4"/>
  <c r="G15" i="4"/>
  <c r="D21" i="4"/>
  <c r="D6" i="4"/>
  <c r="E9" i="3"/>
  <c r="E5" i="3"/>
  <c r="F9" i="3"/>
  <c r="D13" i="3"/>
  <c r="C17" i="3"/>
  <c r="D17" i="3"/>
  <c r="D21" i="3"/>
  <c r="F25" i="3"/>
  <c r="C29" i="3"/>
  <c r="G29" i="3"/>
  <c r="E33" i="3"/>
  <c r="D9" i="4"/>
  <c r="F24" i="4"/>
  <c r="F12" i="4"/>
  <c r="G30" i="4"/>
  <c r="G12" i="4"/>
  <c r="D30" i="4"/>
  <c r="F5" i="3"/>
  <c r="G9" i="3"/>
  <c r="E13" i="3"/>
  <c r="G17" i="3"/>
  <c r="E21" i="3"/>
  <c r="C25" i="3"/>
  <c r="G25" i="3"/>
  <c r="D29" i="3"/>
  <c r="F33" i="3"/>
  <c r="D15" i="4"/>
  <c r="F6" i="4"/>
  <c r="F30" i="4"/>
  <c r="F18" i="4"/>
  <c r="G17" i="1"/>
  <c r="F17" i="1"/>
  <c r="E17" i="1"/>
  <c r="D17" i="1"/>
  <c r="G15" i="1"/>
  <c r="F15" i="1"/>
  <c r="E15" i="1"/>
  <c r="C21" i="4" l="1"/>
  <c r="C12" i="4"/>
  <c r="C9" i="4"/>
  <c r="E15" i="4"/>
  <c r="E9" i="4"/>
  <c r="E24" i="4"/>
  <c r="C6" i="4"/>
  <c r="C27" i="4"/>
  <c r="C15" i="4"/>
  <c r="H6" i="23" l="1"/>
  <c r="H17" i="1"/>
  <c r="H15" i="1"/>
  <c r="G4" i="1"/>
  <c r="F4" i="1"/>
  <c r="E4" i="1"/>
  <c r="H17" i="3"/>
  <c r="H4" i="1" l="1"/>
  <c r="H12" i="4"/>
  <c r="H9" i="3"/>
  <c r="H33" i="3"/>
  <c r="H21" i="3"/>
  <c r="H29" i="3"/>
  <c r="H25" i="3"/>
  <c r="H13" i="3"/>
  <c r="H15" i="4" l="1"/>
  <c r="H9" i="4"/>
  <c r="H30" i="4"/>
  <c r="H18" i="4"/>
  <c r="H24" i="4"/>
  <c r="H21" i="4"/>
  <c r="H27" i="4"/>
  <c r="H6" i="4"/>
</calcChain>
</file>

<file path=xl/sharedStrings.xml><?xml version="1.0" encoding="utf-8"?>
<sst xmlns="http://schemas.openxmlformats.org/spreadsheetml/2006/main" count="828" uniqueCount="220">
  <si>
    <t>Source(s)</t>
  </si>
  <si>
    <t>Observations</t>
  </si>
  <si>
    <t>Indicateurs-clés</t>
  </si>
  <si>
    <t xml:space="preserve">Nombre d'associations employeuses </t>
  </si>
  <si>
    <t>Répartition par département du nbre d'associations employeuses (total = 100%)</t>
  </si>
  <si>
    <t>Nombre de salariés en associations</t>
  </si>
  <si>
    <t>Nombre d'ETP en associations</t>
  </si>
  <si>
    <t>Répartition par département du nbre de salariés (total = 100%)</t>
  </si>
  <si>
    <t>Répartition par département du nbre d'ETP (total = 100%)</t>
  </si>
  <si>
    <t>Nbre moyen annuel de créations (sur les 5  dernières années disponibles)</t>
  </si>
  <si>
    <t>Nombre moyen de salariés par association</t>
  </si>
  <si>
    <t>Nombre moyen d'ETP par association</t>
  </si>
  <si>
    <t>Pays de la Loire</t>
  </si>
  <si>
    <t>Nombre de créations sur la dernière année connue</t>
  </si>
  <si>
    <t>Evolution annuelle du nb d'associations employeuses - dernières années connues (en %)</t>
  </si>
  <si>
    <t>Loisirs et Vie sociale</t>
  </si>
  <si>
    <t>Sport</t>
  </si>
  <si>
    <t>Culture</t>
  </si>
  <si>
    <t>Santé et Action sociale</t>
  </si>
  <si>
    <t>Education et Formation</t>
  </si>
  <si>
    <t>Autres et Divers</t>
  </si>
  <si>
    <t>Part des associations récentes (moins de 5 ans d'existence) (en %)</t>
  </si>
  <si>
    <t>Evolution annuelle moyenne sur une période de 5 ans (en %)</t>
  </si>
  <si>
    <t>Part des créations parmi les associations de la dernière année entière connue (en %)</t>
  </si>
  <si>
    <t>Date(s) des données</t>
  </si>
  <si>
    <t>(= total RNA - les dissoutes)</t>
  </si>
  <si>
    <t>BOP DIRECCTE</t>
  </si>
  <si>
    <t>BOP DRAC</t>
  </si>
  <si>
    <t>Total</t>
  </si>
  <si>
    <t>Evolution annuelle moyenne des associations actives sur une période de 5 ans (en %)</t>
  </si>
  <si>
    <t>Nombre d'associations récentes (moins de 5 ans d'existence)</t>
  </si>
  <si>
    <t>base de calcul : asso actives</t>
  </si>
  <si>
    <t>Nombre d'associations dissoutes signalées dans le RNA_waldec</t>
  </si>
  <si>
    <t>Rapport entre le nombre de salariés et le nombre d'ETP</t>
  </si>
  <si>
    <t>France métropolitaine</t>
  </si>
  <si>
    <t>-</t>
  </si>
  <si>
    <t>Evolution annuelle du nb de salariés en association - dernières années connues (en %)</t>
  </si>
  <si>
    <t>Nombre total d'associations actives</t>
  </si>
  <si>
    <t>Part parmi l'ensemble des associations du département</t>
  </si>
  <si>
    <t>Part des associations dissoutes dont la durée de vie est de moins de 5 ans</t>
  </si>
  <si>
    <t>Part des associations dissoutes dont la durée de vie est comprise entre 5 et 9 ans</t>
  </si>
  <si>
    <t>Part des associations dissoutes dont la durée de vie est comprise entre 10 et 19 ans</t>
  </si>
  <si>
    <t>Part des associations dissoutes dont la durée de vie est comprise entre 20 et 29 ans</t>
  </si>
  <si>
    <t>Part des associations dissoutes dont la durée de vie est comprise entre 30 et 39  ans</t>
  </si>
  <si>
    <t>Part des associations dissoutes dont la durée de vie est de 40 ans ou plus</t>
  </si>
  <si>
    <t>(total colonne = 100%)</t>
  </si>
  <si>
    <t>Associations d'une commune appartenant à un grand pôle (10 000 emplois ou plus)</t>
  </si>
  <si>
    <t>Associations d'une commune appartenant à la couronne d'un grand pôle</t>
  </si>
  <si>
    <t>Associations d'une commune multipolarisée des grandes aires urbaines</t>
  </si>
  <si>
    <t>Associations d'une commune appartenant à un moyen pôle (5 000 à moins de 10 000 emplois)</t>
  </si>
  <si>
    <t>Associations d'une commune appartenant à la couronne d'un moyen pôle</t>
  </si>
  <si>
    <t>Associations d'une commune appartenant à un petit pôle (de 1 500 à moins de 5 000 emplois)</t>
  </si>
  <si>
    <t>Associations d'une commune appartenant à la couronne d'un petit pôle</t>
  </si>
  <si>
    <t>Associations d'une autre commune multipolarisée</t>
  </si>
  <si>
    <t>Associations d'une commune isolée hors influence des pôles</t>
  </si>
  <si>
    <t>Les définitions des notions utilisées dans ce fichier sont accessibles dans la rubrique "Définitions, méthodes et qualité" du site internet de l'Insee :
https://www.insee.fr/fr/metadonnees/definitions</t>
  </si>
  <si>
    <t>Selon le classement en Zone de Revitalisation Rurale (ZRR)</t>
  </si>
  <si>
    <t>Associations d'une commune classée en ZRR</t>
  </si>
  <si>
    <r>
      <t>Selon la catégorie dans le zonage en aires urbaines (Insee)</t>
    </r>
    <r>
      <rPr>
        <b/>
        <sz val="10"/>
        <color theme="1"/>
        <rFont val="Calibri"/>
        <family val="2"/>
        <scheme val="minor"/>
      </rPr>
      <t xml:space="preserve">
</t>
    </r>
    <r>
      <rPr>
        <sz val="10"/>
        <color theme="1"/>
        <rFont val="Calibri"/>
        <family val="2"/>
        <scheme val="minor"/>
      </rPr>
      <t>(total colonne = 100%)</t>
    </r>
  </si>
  <si>
    <t>Répartition par département du nbre d'associations en ZRR (total ligne = 100%)</t>
  </si>
  <si>
    <t>Répartition par département du nbre d'associations actives - RNA_waldec (total ligne = 100%)</t>
  </si>
  <si>
    <t>Nombre d’associations actives pour 1000 habitants*</t>
  </si>
  <si>
    <t>Poids des rémunérations des associations dans l'ensemble des rémunérations (en %)</t>
  </si>
  <si>
    <t>Economie et Développement local</t>
  </si>
  <si>
    <t>Environnement et Patrimoine</t>
  </si>
  <si>
    <t>Année de la dissolution</t>
  </si>
  <si>
    <t>Objet Dataasso</t>
  </si>
  <si>
    <t>44</t>
  </si>
  <si>
    <t>49</t>
  </si>
  <si>
    <t>53</t>
  </si>
  <si>
    <t>72</t>
  </si>
  <si>
    <t>85</t>
  </si>
  <si>
    <t>Pays-de-la-Loire</t>
  </si>
  <si>
    <t>Autres et divers</t>
  </si>
  <si>
    <t>Economie et développement local</t>
  </si>
  <si>
    <t>Education et formation</t>
  </si>
  <si>
    <t>Environnement et patrimoine</t>
  </si>
  <si>
    <t>Loisirs et vie sociale</t>
  </si>
  <si>
    <t>Santé et action sociale</t>
  </si>
  <si>
    <t>Part des salariés en association parmi l'ensemble des salariés (en %)</t>
  </si>
  <si>
    <r>
      <t xml:space="preserve">Nombre d'associations actives - </t>
    </r>
    <r>
      <rPr>
        <b/>
        <sz val="11"/>
        <color theme="9" tint="-0.249977111117893"/>
        <rFont val="Calibri"/>
        <family val="2"/>
        <scheme val="minor"/>
      </rPr>
      <t>RNA_waldec</t>
    </r>
  </si>
  <si>
    <r>
      <t xml:space="preserve">Part des associations employeuses (en %) 
</t>
    </r>
    <r>
      <rPr>
        <sz val="10"/>
        <color theme="0" tint="-0.499984740745262"/>
        <rFont val="Calibri"/>
        <family val="2"/>
        <scheme val="minor"/>
      </rPr>
      <t>[parmi les associations actives du RNA_waldeck]</t>
    </r>
  </si>
  <si>
    <t>Rappel PDL
Version précédente</t>
  </si>
  <si>
    <t>Rappel :
% asso actives</t>
  </si>
  <si>
    <r>
      <rPr>
        <b/>
        <u/>
        <sz val="11"/>
        <color theme="1"/>
        <rFont val="Calibri"/>
        <family val="2"/>
        <scheme val="minor"/>
      </rPr>
      <t>Sources</t>
    </r>
    <r>
      <rPr>
        <b/>
        <sz val="11"/>
        <color theme="1"/>
        <rFont val="Calibri"/>
        <family val="2"/>
        <scheme val="minor"/>
      </rPr>
      <t xml:space="preserve"> : </t>
    </r>
  </si>
  <si>
    <t>Onglets : "Compléments-Cat Aires Urbaines"</t>
  </si>
  <si>
    <t>Une aire urbaine ou « grande aire urbaine » est un ensemble de communes, d'un seul tenant et sans enclave, constitué par un pôle urbain (unité urbaine) de plus de 10 000 emplois, et par des communes rurales ou unités urbaines (couronne périurbaine) dont au moins 40 % de la population résidente ayant un emploi travaille dans le pôle ou dans des communes attirées par celui-ci.</t>
  </si>
  <si>
    <t>Le zonage en aires urbaines 2010 distingue également :
-les « moyennes aires », ensemble de communes, d'un seul tenant et sans enclave, constitué par un pôle urbain (unité urbaine) de 5 000 à 10 000 emplois, et par des communes rurales ou unités urbaines dont au moins 40 % de la population résidente ayant un emploi travaille dans le pôle ou dans des communes attirées par celui-ci.
-les « petites aires », ensemble de communes, d'un seul tenant et sans enclave, constitué par un pôle (unité urbaine) de 1 500 à 5 000 emplois, et par des communes rurales ou unités urbaines dont au moins 40 % de la population résidente ayant un emploi travaille dans le pôle ou dans des communes attirées par celui-ci.</t>
  </si>
  <si>
    <t>Pour en savoir plus sur la géographie :</t>
  </si>
  <si>
    <t>https://www.insee.fr/fr/information/2016807</t>
  </si>
  <si>
    <r>
      <rPr>
        <b/>
        <u/>
        <sz val="11"/>
        <color theme="1"/>
        <rFont val="Calibri"/>
        <family val="2"/>
        <scheme val="minor"/>
      </rPr>
      <t>Associations dissoutes</t>
    </r>
    <r>
      <rPr>
        <sz val="11"/>
        <color theme="1"/>
        <rFont val="Calibri"/>
        <family val="2"/>
        <scheme val="minor"/>
      </rPr>
      <t xml:space="preserve"> :</t>
    </r>
  </si>
  <si>
    <t>15 ans</t>
  </si>
  <si>
    <t>17 ans</t>
  </si>
  <si>
    <t>11 ans</t>
  </si>
  <si>
    <t>Durée de vie moyenne</t>
  </si>
  <si>
    <r>
      <rPr>
        <b/>
        <u/>
        <sz val="11"/>
        <color theme="1"/>
        <rFont val="Calibri"/>
        <family val="2"/>
        <scheme val="minor"/>
      </rPr>
      <t>Réalisation</t>
    </r>
    <r>
      <rPr>
        <b/>
        <sz val="11"/>
        <color theme="1"/>
        <rFont val="Calibri"/>
        <family val="2"/>
        <scheme val="minor"/>
      </rPr>
      <t xml:space="preserve"> : </t>
    </r>
  </si>
  <si>
    <t>DEP</t>
  </si>
  <si>
    <t>Arrondissement</t>
  </si>
  <si>
    <t>%</t>
  </si>
  <si>
    <t>Châteaubriant-Ancenis</t>
  </si>
  <si>
    <t>Nantes</t>
  </si>
  <si>
    <t>Saint-Nazaire</t>
  </si>
  <si>
    <t>Loire-Atlantique</t>
  </si>
  <si>
    <t>Angers</t>
  </si>
  <si>
    <t>Cholet</t>
  </si>
  <si>
    <t>Saumur</t>
  </si>
  <si>
    <t>Segré</t>
  </si>
  <si>
    <t>Maine-et-Loire</t>
  </si>
  <si>
    <t>Château-Gontier</t>
  </si>
  <si>
    <t>Laval</t>
  </si>
  <si>
    <t>Mayenne</t>
  </si>
  <si>
    <t>La Flèche</t>
  </si>
  <si>
    <t>Le Mans</t>
  </si>
  <si>
    <t>Mamers</t>
  </si>
  <si>
    <t>Sarthe</t>
  </si>
  <si>
    <t>Fontenay-le-Comte</t>
  </si>
  <si>
    <t>La Roche-sur-Yon</t>
  </si>
  <si>
    <t>Les Sables-d'Olonne</t>
  </si>
  <si>
    <t>Vendée</t>
  </si>
  <si>
    <t>Nb d'associations pour 1000 hab</t>
  </si>
  <si>
    <t>Rappel PDL
Version précédente
(Données 01/02/2019)</t>
  </si>
  <si>
    <t>18 ans</t>
  </si>
  <si>
    <t xml:space="preserve">Nombre d'associations actives </t>
  </si>
  <si>
    <t>Nombre</t>
  </si>
  <si>
    <t>PDL</t>
  </si>
  <si>
    <t>Nombre de créations d'association par mois</t>
  </si>
  <si>
    <t>Mois</t>
  </si>
  <si>
    <t>Janvier</t>
  </si>
  <si>
    <t>Février</t>
  </si>
  <si>
    <t>Mars</t>
  </si>
  <si>
    <t>Avril</t>
  </si>
  <si>
    <t>Mai</t>
  </si>
  <si>
    <t>Juin</t>
  </si>
  <si>
    <t>Juillet</t>
  </si>
  <si>
    <t>Août</t>
  </si>
  <si>
    <t>Septembre</t>
  </si>
  <si>
    <t>Octobre</t>
  </si>
  <si>
    <t>Novembre</t>
  </si>
  <si>
    <t>Décembre</t>
  </si>
  <si>
    <t>Autres 
et divers</t>
  </si>
  <si>
    <t>Education et 
formation</t>
  </si>
  <si>
    <t>Environnement 
et patrimoine</t>
  </si>
  <si>
    <t>Loisirs et 
vie sociale</t>
  </si>
  <si>
    <t>Santé et 
action sociale</t>
  </si>
  <si>
    <t>Nombre de créations d'association par objet</t>
  </si>
  <si>
    <t>Economie et 
dévelop-pement local</t>
  </si>
  <si>
    <t>Nombre d'associations pour 1000 habitants*</t>
  </si>
  <si>
    <t>Economie et 
développe-ment local</t>
  </si>
  <si>
    <t>DATAGOUV – Fichier RNA_waldec</t>
  </si>
  <si>
    <r>
      <rPr>
        <b/>
        <u/>
        <sz val="11"/>
        <color theme="1"/>
        <rFont val="Calibri"/>
        <family val="2"/>
        <scheme val="minor"/>
      </rPr>
      <t>Précision</t>
    </r>
    <r>
      <rPr>
        <sz val="11"/>
        <color theme="1"/>
        <rFont val="Calibri"/>
        <family val="2"/>
        <scheme val="minor"/>
      </rPr>
      <t xml:space="preserve"> : la base RNA_Waldec regroupe toutes les associations créées depuis 2009 ou ayant fait une déclaration depuis 2009.</t>
    </r>
  </si>
  <si>
    <t>Précautions concernant les comparaisons entre deux versions distinctes du tableau de bord :
Les associations toujours en activité mais n'ayant pas fait de déclarations depuis 2009 ne sont pas présentes dans la base  RNA_Waldec.
Ainsi, si ces associations ont fait une déclaration entre 2019 et 2020 (changement statut, changement d'adresse, changement de président...), elles se retrouvent dans la base RNA_Waldeck de 2020, alors qu'elles n'étaient pas  présentes dans celle de 2019 (bien qu'elles existaient).
L'évolution du nombre d'associations est donc à prendre avec précaution, car celle-ci ne peut être attribuée qu'aux seules créations et dissolutions officiellement enregistrées.</t>
  </si>
  <si>
    <t>Rappel PDL
Version précédente
(Données 01/10/2020)</t>
  </si>
  <si>
    <t>13 ans</t>
  </si>
  <si>
    <t xml:space="preserve">Recapitulatif des subventions versées aux associations par BOP et par années </t>
  </si>
  <si>
    <t>BOP DRDJSCS</t>
  </si>
  <si>
    <t xml:space="preserve">BOP DREAL </t>
  </si>
  <si>
    <t>BOP PREFET REGION</t>
  </si>
  <si>
    <t>BOP PREFET 44</t>
  </si>
  <si>
    <t>BOP PREFET 49</t>
  </si>
  <si>
    <t>BOP PREFET 53</t>
  </si>
  <si>
    <t>BOP PREFET 72</t>
  </si>
  <si>
    <t>BOP PREFET 85</t>
  </si>
  <si>
    <t>BOP RECTORAT</t>
  </si>
  <si>
    <t>BOP DRAAF 44</t>
  </si>
  <si>
    <t>Total général</t>
  </si>
  <si>
    <t>Source : Extraction DRFIP - Réalisation MATT - Décembre 2020</t>
  </si>
  <si>
    <t xml:space="preserve">Détail des subventions versées aux associations par BOP et par années </t>
  </si>
  <si>
    <t>BOP DRDJSCS + DDCS</t>
  </si>
  <si>
    <t>dont DRDJSCS</t>
  </si>
  <si>
    <t>dont BOP DDCS 44</t>
  </si>
  <si>
    <t>dont BOP DDCS 49</t>
  </si>
  <si>
    <t>dont BOP DDCSPP 53</t>
  </si>
  <si>
    <t>dont BOP DDCS 72</t>
  </si>
  <si>
    <t>dont BOP DDCS 85</t>
  </si>
  <si>
    <t>BOP DREAL + DDT</t>
  </si>
  <si>
    <t>dont BOP DREAL</t>
  </si>
  <si>
    <t>dont BOP DDTM 44</t>
  </si>
  <si>
    <t>dont BOP DDT 49</t>
  </si>
  <si>
    <t>dont BOP DDT 53</t>
  </si>
  <si>
    <t>dont BOP DDT 72</t>
  </si>
  <si>
    <t>dont BOP DDTM 85</t>
  </si>
  <si>
    <t xml:space="preserve">dont BOP Politique de la ville </t>
  </si>
  <si>
    <t xml:space="preserve">BOP centraux et par années </t>
  </si>
  <si>
    <t>BOP CENTRAUX</t>
  </si>
  <si>
    <r>
      <t xml:space="preserve">Compas : </t>
    </r>
    <r>
      <rPr>
        <sz val="11"/>
        <color rgb="FF0070C0"/>
        <rFont val="Calibri"/>
        <family val="2"/>
        <scheme val="minor"/>
      </rPr>
      <t>lecompas.fr</t>
    </r>
  </si>
  <si>
    <t>+2,8%</t>
  </si>
  <si>
    <t>7,6 %</t>
  </si>
  <si>
    <t>Rappel PDL
Version précédente
(Données 01/02/2021)</t>
  </si>
  <si>
    <t>Fichier RNA_waldec
*Insee RP 2019</t>
  </si>
  <si>
    <t>21 ans</t>
  </si>
  <si>
    <t>Florès 2019</t>
  </si>
  <si>
    <t>déc-19
déc-18</t>
  </si>
  <si>
    <r>
      <rPr>
        <i/>
        <sz val="11"/>
        <color rgb="FF00B050"/>
        <rFont val="Calibri"/>
        <family val="2"/>
        <scheme val="minor"/>
      </rPr>
      <t>Florès 2019</t>
    </r>
    <r>
      <rPr>
        <i/>
        <sz val="11"/>
        <color theme="1"/>
        <rFont val="Calibri"/>
        <family val="2"/>
        <scheme val="minor"/>
      </rPr>
      <t xml:space="preserve"> ; </t>
    </r>
    <r>
      <rPr>
        <i/>
        <sz val="11"/>
        <color theme="9" tint="-0.249977111117893"/>
        <rFont val="Calibri"/>
        <family val="2"/>
        <scheme val="minor"/>
      </rPr>
      <t>RNA_waldec 2022</t>
    </r>
  </si>
  <si>
    <t>Fichier RNA_Waldec  ; Insee-Florès ; Insee-Recensement de la population</t>
  </si>
  <si>
    <r>
      <t xml:space="preserve">Le </t>
    </r>
    <r>
      <rPr>
        <b/>
        <sz val="11"/>
        <color rgb="FF000000"/>
        <rFont val="Calibri"/>
        <family val="2"/>
      </rPr>
      <t>Compas</t>
    </r>
    <r>
      <rPr>
        <sz val="11"/>
        <color rgb="FF000000"/>
        <rFont val="Calibri"/>
        <family val="2"/>
      </rPr>
      <t xml:space="preserve"> pour le compte de la </t>
    </r>
    <r>
      <rPr>
        <b/>
        <sz val="11"/>
        <color rgb="FF000000"/>
        <rFont val="Calibri"/>
        <family val="2"/>
      </rPr>
      <t>Délégation régionale académique à la jeunesse, à l’engagement et aux sports</t>
    </r>
    <r>
      <rPr>
        <sz val="11"/>
        <color rgb="FF000000"/>
        <rFont val="Calibri"/>
        <family val="2"/>
      </rPr>
      <t xml:space="preserve"> des Pays de la Loire</t>
    </r>
  </si>
  <si>
    <t>Rappel PDL
Version précédente
(Données 01/02/2022)</t>
  </si>
  <si>
    <t>12 ans</t>
  </si>
  <si>
    <t>20 ans</t>
  </si>
  <si>
    <t>Evolution 2019-2022</t>
  </si>
  <si>
    <t>Evolution 2019-2022 (en %)</t>
  </si>
  <si>
    <t>+7% entre T4-2019 et T4-2022</t>
  </si>
  <si>
    <t>Associations pour lesquelles le fichier RNA_Waldec mentionne une date de dissolution.</t>
  </si>
  <si>
    <t>DATAGOUV – Fichier RNA_waldec arrêtée au 01/02/2025 ; Florès 2018-2019; Extraction DRFIP - Réalisation MATT - Décembre 2020</t>
  </si>
  <si>
    <t>(Rappel pour la version précédente : DATAGOUV – Fichier RNA_waldec arrêtée au 01/02/2023 ; Florès 2017-2018)</t>
  </si>
  <si>
    <t>Rappel PDL
Version précédente
(Données 01/02/2023)</t>
  </si>
  <si>
    <r>
      <t xml:space="preserve">DATAGOUV – Fichier RNA_waldec
</t>
    </r>
    <r>
      <rPr>
        <i/>
        <sz val="11"/>
        <rFont val="Calibri"/>
        <family val="2"/>
        <scheme val="minor"/>
      </rPr>
      <t>*Insee RP 2022</t>
    </r>
  </si>
  <si>
    <t>2019-2025</t>
  </si>
  <si>
    <t>2020-2024</t>
  </si>
  <si>
    <t>2020-2025</t>
  </si>
  <si>
    <t>22 ans</t>
  </si>
  <si>
    <t>19 ans</t>
  </si>
  <si>
    <t>OBJET DATAASSO LIBELLE</t>
  </si>
  <si>
    <t>Source : DATAGOUV – Fichier RNA_waldec 01/02/2019, 01/02/2020, 01/10/2021, 01/02/2022, 01/02/2023 et 01/02/2025; RP-Insee 2022</t>
  </si>
  <si>
    <t>%
01/02/2025</t>
  </si>
  <si>
    <t>Evolution
2019-2025</t>
  </si>
  <si>
    <t>Evolution 2019-2024</t>
  </si>
  <si>
    <t>Evolution 2019-2024 (en %)</t>
  </si>
  <si>
    <t>+1% entre T1-2019 et T1-2024</t>
  </si>
  <si>
    <t>+16% entre T2-2019 et T2-2024</t>
  </si>
  <si>
    <t>-2% entre T3-2019 et T3-2024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</si>
</sst>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_-* #,##0.00\ _€_-;\-* #,##0.00\ _€_-;_-* &quot;-&quot;??\ _€_-;_-@_-"/>
    <numFmt numFmtId="165" formatCode="_-* #,##0\ _€_-;\-* #,##0\ _€_-;_-* &quot;-&quot;??\ _€_-;_-@_-"/>
    <numFmt numFmtId="166" formatCode="0.0"/>
    <numFmt numFmtId="167" formatCode="0.0%"/>
    <numFmt numFmtId="168" formatCode="_-* #,##0.0\ _€_-;\-* #,##0.0\ _€_-;_-* &quot;-&quot;??\ _€_-;_-@_-"/>
    <numFmt numFmtId="169" formatCode="_-* #,##0.0\ _€_-;\-* #,##0.0\ _€_-;_-* &quot;-&quot;?\ _€_-;_-@_-"/>
    <numFmt numFmtId="170" formatCode="\+0.0%"/>
    <numFmt numFmtId="171" formatCode="\+0.0%;\-0.0%"/>
    <numFmt numFmtId="172" formatCode="\+#,##0;\-#,##0"/>
    <numFmt numFmtId="173" formatCode="\+0;\-0"/>
    <numFmt numFmtId="174" formatCode="\+0%;\-0%"/>
  </numFmts>
  <fonts count="54" x14ac:knownFonts="1">
    <font>
      <sz val="11"/>
      <color theme="1"/>
      <name val="Calibri"/>
      <family val="2"/>
      <scheme val="minor"/>
    </font>
    <font>
      <b/>
      <sz val="11"/>
      <color theme="0"/>
      <name val="Calibri"/>
      <family val="2"/>
      <scheme val="minor"/>
    </font>
    <font>
      <b/>
      <sz val="11"/>
      <color theme="1"/>
      <name val="Calibri"/>
      <family val="2"/>
      <scheme val="minor"/>
    </font>
    <font>
      <i/>
      <sz val="11"/>
      <color theme="1"/>
      <name val="Calibri"/>
      <family val="2"/>
      <scheme val="minor"/>
    </font>
    <font>
      <b/>
      <i/>
      <sz val="11"/>
      <color theme="0"/>
      <name val="Calibri"/>
      <family val="2"/>
      <scheme val="minor"/>
    </font>
    <font>
      <sz val="11"/>
      <name val="Calibri"/>
      <family val="2"/>
      <scheme val="minor"/>
    </font>
    <font>
      <i/>
      <sz val="9"/>
      <color theme="1"/>
      <name val="Calibri"/>
      <family val="2"/>
      <scheme val="minor"/>
    </font>
    <font>
      <i/>
      <sz val="10"/>
      <color theme="1"/>
      <name val="Calibri"/>
      <family val="2"/>
      <scheme val="minor"/>
    </font>
    <font>
      <i/>
      <sz val="10"/>
      <color rgb="FFFF0000"/>
      <name val="Calibri"/>
      <family val="2"/>
      <scheme val="minor"/>
    </font>
    <font>
      <sz val="11"/>
      <color theme="1"/>
      <name val="Calibri"/>
      <family val="2"/>
      <scheme val="minor"/>
    </font>
    <font>
      <sz val="11"/>
      <color rgb="FF000000"/>
      <name val="Calibri"/>
      <family val="2"/>
    </font>
    <font>
      <b/>
      <sz val="11"/>
      <color rgb="FF000000"/>
      <name val="Calibri"/>
      <family val="2"/>
    </font>
    <font>
      <b/>
      <sz val="11"/>
      <color theme="0"/>
      <name val="Calibri"/>
      <family val="2"/>
    </font>
    <font>
      <sz val="11"/>
      <color theme="0" tint="-0.34998626667073579"/>
      <name val="Calibri"/>
      <family val="2"/>
      <scheme val="minor"/>
    </font>
    <font>
      <i/>
      <sz val="11"/>
      <color theme="1" tint="0.499984740745262"/>
      <name val="Calibri"/>
      <family val="2"/>
      <scheme val="minor"/>
    </font>
    <font>
      <b/>
      <sz val="11"/>
      <name val="Calibri"/>
      <family val="2"/>
      <scheme val="minor"/>
    </font>
    <font>
      <i/>
      <sz val="10"/>
      <color theme="1" tint="0.499984740745262"/>
      <name val="Calibri"/>
      <family val="2"/>
      <scheme val="minor"/>
    </font>
    <font>
      <b/>
      <sz val="11"/>
      <color theme="5"/>
      <name val="Calibri"/>
      <family val="2"/>
      <scheme val="minor"/>
    </font>
    <font>
      <sz val="10"/>
      <color theme="1"/>
      <name val="Calibri"/>
      <family val="2"/>
      <scheme val="minor"/>
    </font>
    <font>
      <b/>
      <sz val="10"/>
      <color theme="1"/>
      <name val="Calibri"/>
      <family val="2"/>
      <scheme val="minor"/>
    </font>
    <font>
      <sz val="10"/>
      <color theme="1" tint="0.499984740745262"/>
      <name val="Calibri"/>
      <family val="2"/>
      <scheme val="minor"/>
    </font>
    <font>
      <b/>
      <i/>
      <sz val="11"/>
      <color theme="1" tint="0.499984740745262"/>
      <name val="Calibri"/>
      <family val="2"/>
      <scheme val="minor"/>
    </font>
    <font>
      <sz val="11"/>
      <color rgb="FFFF0000"/>
      <name val="Calibri"/>
      <family val="2"/>
      <scheme val="minor"/>
    </font>
    <font>
      <sz val="10"/>
      <color indexed="8"/>
      <name val="Arial"/>
      <family val="2"/>
    </font>
    <font>
      <sz val="11"/>
      <color indexed="8"/>
      <name val="Calibri"/>
      <family val="2"/>
    </font>
    <font>
      <sz val="11"/>
      <color rgb="FFFF0000"/>
      <name val="Calibri"/>
      <family val="2"/>
    </font>
    <font>
      <b/>
      <sz val="11"/>
      <color indexed="8"/>
      <name val="Calibri"/>
      <family val="2"/>
    </font>
    <font>
      <b/>
      <sz val="11"/>
      <color rgb="FFFF0000"/>
      <name val="Calibri"/>
      <family val="2"/>
    </font>
    <font>
      <sz val="11"/>
      <name val="Calibri"/>
      <family val="2"/>
    </font>
    <font>
      <sz val="11"/>
      <color theme="0" tint="-0.249977111117893"/>
      <name val="Calibri"/>
      <family val="2"/>
    </font>
    <font>
      <b/>
      <sz val="11"/>
      <color theme="0" tint="-0.249977111117893"/>
      <name val="Calibri"/>
      <family val="2"/>
    </font>
    <font>
      <sz val="11"/>
      <color theme="0"/>
      <name val="Calibri"/>
      <family val="2"/>
    </font>
    <font>
      <sz val="11"/>
      <color rgb="FF00B050"/>
      <name val="Calibri"/>
      <family val="2"/>
    </font>
    <font>
      <b/>
      <sz val="11"/>
      <color theme="1" tint="0.499984740745262"/>
      <name val="Calibri"/>
      <family val="2"/>
      <scheme val="minor"/>
    </font>
    <font>
      <b/>
      <sz val="9"/>
      <color theme="1" tint="0.499984740745262"/>
      <name val="Calibri"/>
      <family val="2"/>
      <scheme val="minor"/>
    </font>
    <font>
      <i/>
      <sz val="11"/>
      <color theme="9"/>
      <name val="Calibri"/>
      <family val="2"/>
      <scheme val="minor"/>
    </font>
    <font>
      <i/>
      <sz val="11"/>
      <color theme="9" tint="-0.249977111117893"/>
      <name val="Calibri"/>
      <family val="2"/>
      <scheme val="minor"/>
    </font>
    <font>
      <b/>
      <sz val="11"/>
      <color theme="9" tint="-0.249977111117893"/>
      <name val="Calibri"/>
      <family val="2"/>
      <scheme val="minor"/>
    </font>
    <font>
      <i/>
      <sz val="11"/>
      <color rgb="FF00B050"/>
      <name val="Calibri"/>
      <family val="2"/>
      <scheme val="minor"/>
    </font>
    <font>
      <sz val="10"/>
      <color theme="0" tint="-0.499984740745262"/>
      <name val="Calibri"/>
      <family val="2"/>
      <scheme val="minor"/>
    </font>
    <font>
      <i/>
      <sz val="11"/>
      <name val="Calibri"/>
      <family val="2"/>
      <scheme val="minor"/>
    </font>
    <font>
      <b/>
      <u/>
      <sz val="11"/>
      <color theme="1"/>
      <name val="Calibri"/>
      <family val="2"/>
      <scheme val="minor"/>
    </font>
    <font>
      <i/>
      <sz val="9"/>
      <name val="Calibri"/>
      <family val="2"/>
      <scheme val="minor"/>
    </font>
    <font>
      <b/>
      <sz val="11"/>
      <name val="Calibri"/>
      <family val="2"/>
    </font>
    <font>
      <sz val="11"/>
      <color rgb="FF0070C0"/>
      <name val="Calibri"/>
      <family val="2"/>
      <scheme val="minor"/>
    </font>
    <font>
      <i/>
      <sz val="11"/>
      <color theme="0" tint="-0.499984740745262"/>
      <name val="Calibri"/>
      <family val="2"/>
      <scheme val="minor"/>
    </font>
    <font>
      <b/>
      <sz val="11"/>
      <color rgb="FF00B050"/>
      <name val="Calibri"/>
      <family val="2"/>
    </font>
    <font>
      <b/>
      <sz val="14"/>
      <color theme="3"/>
      <name val="Calibri"/>
      <family val="2"/>
      <scheme val="minor"/>
    </font>
    <font>
      <sz val="14"/>
      <color theme="1"/>
      <name val="Calibri"/>
      <family val="2"/>
      <scheme val="minor"/>
    </font>
    <font>
      <b/>
      <sz val="11"/>
      <color theme="3"/>
      <name val="Calibri"/>
      <family val="2"/>
    </font>
    <font>
      <b/>
      <i/>
      <sz val="11"/>
      <color rgb="FFFF0000"/>
      <name val="Calibri"/>
      <family val="2"/>
      <scheme val="minor"/>
    </font>
    <font>
      <sz val="11"/>
      <color theme="1"/>
      <name val="Calibri"/>
      <family val="2"/>
    </font>
    <font>
      <b/>
      <i/>
      <sz val="11"/>
      <name val="Calibri"/>
      <family val="2"/>
      <scheme val="minor"/>
    </font>
    <font>
      <b/>
      <i/>
      <sz val="11"/>
      <color rgb="FF00B050"/>
      <name val="Calibri"/>
      <family val="2"/>
      <scheme val="minor"/>
    </font>
  </fonts>
  <fills count="15">
    <fill>
      <patternFill patternType="none"/>
    </fill>
    <fill>
      <patternFill patternType="gray125"/>
    </fill>
    <fill>
      <patternFill patternType="solid">
        <fgColor theme="4" tint="0.79998168889431442"/>
        <bgColor indexed="64"/>
      </patternFill>
    </fill>
    <fill>
      <patternFill patternType="solid">
        <fgColor theme="4"/>
        <bgColor indexed="64"/>
      </patternFill>
    </fill>
    <fill>
      <patternFill patternType="solid">
        <fgColor theme="0"/>
        <bgColor indexed="64"/>
      </patternFill>
    </fill>
    <fill>
      <patternFill patternType="solid">
        <fgColor theme="3" tint="0.79998168889431442"/>
        <bgColor indexed="64"/>
      </patternFill>
    </fill>
    <fill>
      <patternFill patternType="solid">
        <fgColor theme="2" tint="-9.9978637043366805E-2"/>
        <bgColor indexed="64"/>
      </patternFill>
    </fill>
    <fill>
      <patternFill patternType="solid">
        <fgColor indexed="22"/>
        <bgColor indexed="0"/>
      </patternFill>
    </fill>
    <fill>
      <patternFill patternType="solid">
        <fgColor theme="4"/>
        <bgColor indexed="0"/>
      </patternFill>
    </fill>
    <fill>
      <patternFill patternType="solid">
        <fgColor theme="2"/>
        <bgColor indexed="64"/>
      </patternFill>
    </fill>
    <fill>
      <patternFill patternType="solid">
        <fgColor theme="0" tint="-4.9989318521683403E-2"/>
        <bgColor indexed="64"/>
      </patternFill>
    </fill>
    <fill>
      <patternFill patternType="solid">
        <fgColor theme="2" tint="-0.499984740745262"/>
        <bgColor indexed="0"/>
      </patternFill>
    </fill>
    <fill>
      <patternFill patternType="solid">
        <fgColor theme="3" tint="0.79998168889431442"/>
        <bgColor indexed="0"/>
      </patternFill>
    </fill>
    <fill>
      <patternFill patternType="solid">
        <fgColor theme="0" tint="-0.249977111117893"/>
        <bgColor indexed="64"/>
      </patternFill>
    </fill>
    <fill>
      <patternFill patternType="solid">
        <fgColor theme="0" tint="-0.14999847407452621"/>
        <bgColor indexed="64"/>
      </patternFill>
    </fill>
  </fills>
  <borders count="67">
    <border>
      <left/>
      <right/>
      <top/>
      <bottom/>
      <diagonal/>
    </border>
    <border>
      <left style="thin">
        <color theme="4" tint="0.59996337778862885"/>
      </left>
      <right style="thin">
        <color theme="4" tint="0.59996337778862885"/>
      </right>
      <top style="thin">
        <color theme="4" tint="0.59996337778862885"/>
      </top>
      <bottom/>
      <diagonal/>
    </border>
    <border>
      <left style="thin">
        <color theme="4" tint="0.59996337778862885"/>
      </left>
      <right style="thin">
        <color theme="4" tint="0.59996337778862885"/>
      </right>
      <top style="thin">
        <color theme="4" tint="0.59996337778862885"/>
      </top>
      <bottom style="thin">
        <color theme="4" tint="0.59996337778862885"/>
      </bottom>
      <diagonal/>
    </border>
    <border>
      <left/>
      <right/>
      <top style="medium">
        <color indexed="64"/>
      </top>
      <bottom/>
      <diagonal/>
    </border>
    <border>
      <left style="thin">
        <color indexed="64"/>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thin">
        <color indexed="64"/>
      </top>
      <bottom style="thin">
        <color indexed="64"/>
      </bottom>
      <diagonal/>
    </border>
    <border>
      <left/>
      <right/>
      <top style="thin">
        <color indexed="64"/>
      </top>
      <bottom style="medium">
        <color indexed="64"/>
      </bottom>
      <diagonal/>
    </border>
    <border>
      <left/>
      <right/>
      <top style="thin">
        <color indexed="64"/>
      </top>
      <bottom style="thin">
        <color indexed="64"/>
      </bottom>
      <diagonal/>
    </border>
    <border>
      <left style="thin">
        <color theme="4" tint="0.59996337778862885"/>
      </left>
      <right style="thin">
        <color theme="0"/>
      </right>
      <top style="thin">
        <color theme="4" tint="0.59996337778862885"/>
      </top>
      <bottom style="thin">
        <color theme="4" tint="0.59996337778862885"/>
      </bottom>
      <diagonal/>
    </border>
    <border>
      <left style="thin">
        <color theme="0"/>
      </left>
      <right/>
      <top/>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
      <left/>
      <right style="thin">
        <color theme="4" tint="0.79998168889431442"/>
      </right>
      <top/>
      <bottom style="thin">
        <color theme="4" tint="0.79998168889431442"/>
      </bottom>
      <diagonal/>
    </border>
    <border>
      <left style="thin">
        <color theme="4" tint="0.79998168889431442"/>
      </left>
      <right style="thin">
        <color theme="4" tint="0.79998168889431442"/>
      </right>
      <top/>
      <bottom style="thin">
        <color theme="4" tint="0.79998168889431442"/>
      </bottom>
      <diagonal/>
    </border>
    <border>
      <left style="thin">
        <color theme="4" tint="0.79998168889431442"/>
      </left>
      <right/>
      <top/>
      <bottom style="thin">
        <color theme="4" tint="0.79998168889431442"/>
      </bottom>
      <diagonal/>
    </border>
    <border>
      <left/>
      <right style="thin">
        <color theme="4" tint="0.79998168889431442"/>
      </right>
      <top style="thin">
        <color theme="4" tint="0.79998168889431442"/>
      </top>
      <bottom style="thin">
        <color theme="4" tint="0.79998168889431442"/>
      </bottom>
      <diagonal/>
    </border>
    <border>
      <left style="thin">
        <color theme="4" tint="0.79998168889431442"/>
      </left>
      <right style="thin">
        <color theme="4" tint="0.79998168889431442"/>
      </right>
      <top style="thin">
        <color theme="4" tint="0.79998168889431442"/>
      </top>
      <bottom style="thin">
        <color theme="4" tint="0.79998168889431442"/>
      </bottom>
      <diagonal/>
    </border>
    <border>
      <left style="thin">
        <color theme="4" tint="0.79998168889431442"/>
      </left>
      <right/>
      <top style="thin">
        <color theme="4" tint="0.79998168889431442"/>
      </top>
      <bottom style="thin">
        <color theme="4" tint="0.79998168889431442"/>
      </bottom>
      <diagonal/>
    </border>
    <border>
      <left/>
      <right style="thin">
        <color theme="4" tint="0.79998168889431442"/>
      </right>
      <top style="thin">
        <color theme="4" tint="0.79998168889431442"/>
      </top>
      <bottom/>
      <diagonal/>
    </border>
    <border>
      <left style="thin">
        <color theme="4" tint="0.79998168889431442"/>
      </left>
      <right style="thin">
        <color theme="4" tint="0.79998168889431442"/>
      </right>
      <top style="thin">
        <color theme="4" tint="0.79998168889431442"/>
      </top>
      <bottom/>
      <diagonal/>
    </border>
    <border>
      <left style="thin">
        <color theme="4" tint="0.79998168889431442"/>
      </left>
      <right/>
      <top style="thin">
        <color theme="4" tint="0.79998168889431442"/>
      </top>
      <bottom/>
      <diagonal/>
    </border>
    <border>
      <left/>
      <right style="thin">
        <color theme="0"/>
      </right>
      <top/>
      <bottom style="thin">
        <color theme="4" tint="0.79998168889431442"/>
      </bottom>
      <diagonal/>
    </border>
    <border>
      <left style="thin">
        <color theme="0"/>
      </left>
      <right/>
      <top/>
      <bottom style="thin">
        <color theme="4" tint="0.79998168889431442"/>
      </bottom>
      <diagonal/>
    </border>
    <border>
      <left/>
      <right/>
      <top/>
      <bottom style="thin">
        <color theme="4" tint="0.79998168889431442"/>
      </bottom>
      <diagonal/>
    </border>
    <border>
      <left style="thin">
        <color theme="0"/>
      </left>
      <right/>
      <top style="thin">
        <color theme="4" tint="0.79998168889431442"/>
      </top>
      <bottom style="thin">
        <color theme="4" tint="0.79998168889431442"/>
      </bottom>
      <diagonal/>
    </border>
    <border>
      <left/>
      <right/>
      <top style="thin">
        <color theme="4" tint="0.79998168889431442"/>
      </top>
      <bottom style="thin">
        <color theme="4" tint="0.79998168889431442"/>
      </bottom>
      <diagonal/>
    </border>
    <border>
      <left/>
      <right style="thin">
        <color theme="0"/>
      </right>
      <top style="thin">
        <color theme="4" tint="0.79998168889431442"/>
      </top>
      <bottom style="thin">
        <color theme="4" tint="0.79998168889431442"/>
      </bottom>
      <diagonal/>
    </border>
    <border>
      <left style="thin">
        <color theme="0"/>
      </left>
      <right/>
      <top style="thin">
        <color theme="4" tint="0.79998168889431442"/>
      </top>
      <bottom/>
      <diagonal/>
    </border>
    <border>
      <left/>
      <right/>
      <top style="thin">
        <color theme="4" tint="0.79998168889431442"/>
      </top>
      <bottom/>
      <diagonal/>
    </border>
    <border>
      <left style="thin">
        <color indexed="22"/>
      </left>
      <right style="thin">
        <color indexed="22"/>
      </right>
      <top/>
      <bottom style="thin">
        <color indexed="22"/>
      </bottom>
      <diagonal/>
    </border>
    <border>
      <left style="thin">
        <color indexed="22"/>
      </left>
      <right/>
      <top/>
      <bottom style="thin">
        <color indexed="22"/>
      </bottom>
      <diagonal/>
    </border>
    <border>
      <left style="thin">
        <color indexed="22"/>
      </left>
      <right style="thin">
        <color indexed="22"/>
      </right>
      <top style="thin">
        <color indexed="22"/>
      </top>
      <bottom/>
      <diagonal/>
    </border>
    <border>
      <left style="thin">
        <color rgb="FFC0C0C0"/>
      </left>
      <right style="thin">
        <color rgb="FFC0C0C0"/>
      </right>
      <top style="thin">
        <color rgb="FFC0C0C0"/>
      </top>
      <bottom style="thin">
        <color rgb="FFC0C0C0"/>
      </bottom>
      <diagonal/>
    </border>
    <border>
      <left style="thin">
        <color rgb="FFC0C0C0"/>
      </left>
      <right/>
      <top style="thin">
        <color rgb="FFC0C0C0"/>
      </top>
      <bottom style="thin">
        <color rgb="FFC0C0C0"/>
      </bottom>
      <diagonal/>
    </border>
    <border>
      <left/>
      <right style="thin">
        <color rgb="FFC0C0C0"/>
      </right>
      <top style="thin">
        <color rgb="FFC0C0C0"/>
      </top>
      <bottom style="thin">
        <color rgb="FFC0C0C0"/>
      </bottom>
      <diagonal/>
    </border>
    <border>
      <left style="thin">
        <color indexed="22"/>
      </left>
      <right style="thin">
        <color indexed="22"/>
      </right>
      <top/>
      <bottom/>
      <diagonal/>
    </border>
    <border>
      <left style="thin">
        <color rgb="FFC0C0C0"/>
      </left>
      <right style="thin">
        <color rgb="FFC0C0C0"/>
      </right>
      <top style="thin">
        <color rgb="FFC0C0C0"/>
      </top>
      <bottom/>
      <diagonal/>
    </border>
    <border>
      <left style="thin">
        <color rgb="FFC0C0C0"/>
      </left>
      <right style="thin">
        <color rgb="FFC0C0C0"/>
      </right>
      <top/>
      <bottom style="thin">
        <color rgb="FFC0C0C0"/>
      </bottom>
      <diagonal/>
    </border>
    <border>
      <left/>
      <right style="thin">
        <color indexed="22"/>
      </right>
      <top/>
      <bottom/>
      <diagonal/>
    </border>
    <border>
      <left style="thin">
        <color indexed="22"/>
      </left>
      <right style="thin">
        <color auto="1"/>
      </right>
      <top style="thin">
        <color auto="1"/>
      </top>
      <bottom/>
      <diagonal/>
    </border>
    <border>
      <left style="thin">
        <color indexed="22"/>
      </left>
      <right style="thin">
        <color auto="1"/>
      </right>
      <top/>
      <bottom/>
      <diagonal/>
    </border>
    <border>
      <left style="thin">
        <color indexed="22"/>
      </left>
      <right style="thin">
        <color auto="1"/>
      </right>
      <top/>
      <bottom style="thin">
        <color auto="1"/>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bottom/>
      <diagonal/>
    </border>
    <border>
      <left style="medium">
        <color indexed="64"/>
      </left>
      <right/>
      <top/>
      <bottom/>
      <diagonal/>
    </border>
    <border>
      <left style="medium">
        <color indexed="64"/>
      </left>
      <right style="medium">
        <color indexed="64"/>
      </right>
      <top style="medium">
        <color indexed="64"/>
      </top>
      <bottom/>
      <diagonal/>
    </border>
    <border>
      <left/>
      <right/>
      <top style="medium">
        <color indexed="64"/>
      </top>
      <bottom style="thin">
        <color indexed="64"/>
      </bottom>
      <diagonal/>
    </border>
    <border>
      <left style="medium">
        <color indexed="64"/>
      </left>
      <right style="medium">
        <color indexed="64"/>
      </right>
      <top style="thin">
        <color indexed="64"/>
      </top>
      <bottom/>
      <diagonal/>
    </border>
    <border>
      <left/>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top style="thin">
        <color rgb="FFC0C0C0"/>
      </top>
      <bottom style="thin">
        <color rgb="FFC0C0C0"/>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s>
  <cellStyleXfs count="11">
    <xf numFmtId="0" fontId="0" fillId="0" borderId="0"/>
    <xf numFmtId="9" fontId="9" fillId="0" borderId="0" applyFont="0" applyFill="0" applyBorder="0" applyAlignment="0" applyProtection="0"/>
    <xf numFmtId="0" fontId="10" fillId="0" borderId="0"/>
    <xf numFmtId="9" fontId="10" fillId="0" borderId="0" applyFont="0" applyFill="0" applyBorder="0" applyAlignment="0" applyProtection="0"/>
    <xf numFmtId="164" fontId="9" fillId="0" borderId="0" applyFont="0" applyFill="0" applyBorder="0" applyAlignment="0" applyProtection="0"/>
    <xf numFmtId="0" fontId="23" fillId="0" borderId="0"/>
    <xf numFmtId="0" fontId="23" fillId="0" borderId="0"/>
    <xf numFmtId="0" fontId="23" fillId="0" borderId="0"/>
    <xf numFmtId="0" fontId="23" fillId="0" borderId="0"/>
    <xf numFmtId="0" fontId="23" fillId="0" borderId="0"/>
    <xf numFmtId="0" fontId="23" fillId="0" borderId="0"/>
  </cellStyleXfs>
  <cellXfs count="364">
    <xf numFmtId="0" fontId="0" fillId="0" borderId="0" xfId="0"/>
    <xf numFmtId="0" fontId="0" fillId="0" borderId="0" xfId="0" applyAlignment="1">
      <alignment horizontal="center" vertical="center" wrapText="1"/>
    </xf>
    <xf numFmtId="0" fontId="0" fillId="0" borderId="0" xfId="0" applyAlignment="1">
      <alignment vertical="center" wrapText="1"/>
    </xf>
    <xf numFmtId="0" fontId="0" fillId="0" borderId="0" xfId="0" applyAlignment="1">
      <alignment vertical="center"/>
    </xf>
    <xf numFmtId="0" fontId="3" fillId="0" borderId="0" xfId="0" applyFont="1" applyAlignment="1">
      <alignment horizontal="center" vertical="center" wrapText="1"/>
    </xf>
    <xf numFmtId="0" fontId="2" fillId="2" borderId="2" xfId="0" applyFont="1" applyFill="1" applyBorder="1" applyAlignment="1">
      <alignment horizontal="center" vertical="center"/>
    </xf>
    <xf numFmtId="0" fontId="0" fillId="0" borderId="0" xfId="0" applyAlignment="1">
      <alignment horizontal="center" vertical="center"/>
    </xf>
    <xf numFmtId="14" fontId="3" fillId="0" borderId="0" xfId="0" applyNumberFormat="1" applyFont="1" applyAlignment="1">
      <alignment horizontal="center" vertical="center"/>
    </xf>
    <xf numFmtId="0" fontId="3" fillId="0" borderId="0" xfId="0" applyFont="1" applyAlignment="1">
      <alignment horizontal="center" vertical="center"/>
    </xf>
    <xf numFmtId="0" fontId="1" fillId="3" borderId="1" xfId="0" applyFont="1" applyFill="1" applyBorder="1" applyAlignment="1">
      <alignment horizontal="center" vertical="center" wrapText="1"/>
    </xf>
    <xf numFmtId="0" fontId="4" fillId="3" borderId="0" xfId="0" applyFont="1" applyFill="1" applyAlignment="1">
      <alignment horizontal="center" vertical="center" wrapText="1"/>
    </xf>
    <xf numFmtId="0" fontId="3" fillId="0" borderId="0" xfId="0" applyFont="1" applyAlignment="1">
      <alignment horizontal="left" vertical="center"/>
    </xf>
    <xf numFmtId="0" fontId="0" fillId="3" borderId="0" xfId="0" applyFill="1" applyAlignment="1">
      <alignment vertical="center" wrapText="1"/>
    </xf>
    <xf numFmtId="0" fontId="0" fillId="3" borderId="0" xfId="0" applyFill="1" applyAlignment="1">
      <alignment vertical="center"/>
    </xf>
    <xf numFmtId="0" fontId="3" fillId="3" borderId="0" xfId="0" applyFont="1" applyFill="1" applyAlignment="1">
      <alignment horizontal="center" vertical="center" wrapText="1"/>
    </xf>
    <xf numFmtId="0" fontId="3" fillId="3" borderId="0" xfId="0" applyFont="1" applyFill="1" applyAlignment="1">
      <alignment horizontal="center" vertical="center"/>
    </xf>
    <xf numFmtId="0" fontId="3" fillId="3" borderId="0" xfId="0" applyFont="1" applyFill="1" applyAlignment="1">
      <alignment horizontal="left" vertical="center"/>
    </xf>
    <xf numFmtId="0" fontId="0" fillId="3" borderId="0" xfId="0" applyFill="1" applyAlignment="1">
      <alignment horizontal="center" vertical="center" wrapText="1"/>
    </xf>
    <xf numFmtId="0" fontId="0" fillId="3" borderId="0" xfId="0" applyFill="1" applyAlignment="1">
      <alignment horizontal="center" vertical="center"/>
    </xf>
    <xf numFmtId="169" fontId="0" fillId="0" borderId="0" xfId="0" applyNumberFormat="1"/>
    <xf numFmtId="0" fontId="13" fillId="0" borderId="0" xfId="0" applyFont="1" applyAlignment="1">
      <alignment vertical="center" wrapText="1"/>
    </xf>
    <xf numFmtId="0" fontId="13" fillId="0" borderId="0" xfId="0" applyFont="1"/>
    <xf numFmtId="165" fontId="13" fillId="0" borderId="0" xfId="4" applyNumberFormat="1" applyFont="1" applyAlignment="1">
      <alignment vertical="center"/>
    </xf>
    <xf numFmtId="168" fontId="13" fillId="0" borderId="0" xfId="0" applyNumberFormat="1" applyFont="1"/>
    <xf numFmtId="169" fontId="13" fillId="0" borderId="0" xfId="0" applyNumberFormat="1" applyFont="1"/>
    <xf numFmtId="166" fontId="13" fillId="0" borderId="0" xfId="0" applyNumberFormat="1" applyFont="1"/>
    <xf numFmtId="165" fontId="13" fillId="0" borderId="0" xfId="0" applyNumberFormat="1" applyFont="1"/>
    <xf numFmtId="165" fontId="0" fillId="0" borderId="0" xfId="0" applyNumberFormat="1" applyAlignment="1">
      <alignment vertical="center"/>
    </xf>
    <xf numFmtId="0" fontId="16" fillId="0" borderId="0" xfId="0" applyFont="1" applyAlignment="1">
      <alignment horizontal="left" vertical="center" wrapText="1"/>
    </xf>
    <xf numFmtId="0" fontId="17" fillId="0" borderId="0" xfId="0" applyFont="1" applyAlignment="1">
      <alignment horizontal="center"/>
    </xf>
    <xf numFmtId="0" fontId="2" fillId="5" borderId="2" xfId="0" applyFont="1" applyFill="1" applyBorder="1" applyAlignment="1">
      <alignment horizontal="center" vertical="center" wrapText="1"/>
    </xf>
    <xf numFmtId="0" fontId="2" fillId="5" borderId="10" xfId="0" applyFont="1" applyFill="1" applyBorder="1" applyAlignment="1">
      <alignment horizontal="center" vertical="center" wrapText="1"/>
    </xf>
    <xf numFmtId="0" fontId="2" fillId="5" borderId="11" xfId="0" applyFont="1" applyFill="1" applyBorder="1" applyAlignment="1">
      <alignment horizontal="center" vertical="center" wrapText="1"/>
    </xf>
    <xf numFmtId="165" fontId="0" fillId="0" borderId="0" xfId="4" applyNumberFormat="1" applyFont="1"/>
    <xf numFmtId="0" fontId="22" fillId="0" borderId="0" xfId="0" applyFont="1"/>
    <xf numFmtId="0" fontId="24" fillId="7" borderId="12" xfId="5" applyFont="1" applyFill="1" applyBorder="1" applyAlignment="1">
      <alignment horizontal="center"/>
    </xf>
    <xf numFmtId="0" fontId="24" fillId="0" borderId="13" xfId="5" applyFont="1" applyFill="1" applyBorder="1" applyAlignment="1">
      <alignment wrapText="1"/>
    </xf>
    <xf numFmtId="0" fontId="24" fillId="0" borderId="13" xfId="5" applyFont="1" applyFill="1" applyBorder="1" applyAlignment="1">
      <alignment horizontal="right" wrapText="1"/>
    </xf>
    <xf numFmtId="0" fontId="24" fillId="0" borderId="0" xfId="5" applyFont="1" applyFill="1" applyBorder="1" applyAlignment="1">
      <alignment horizontal="right" wrapText="1"/>
    </xf>
    <xf numFmtId="9" fontId="24" fillId="0" borderId="13" xfId="1" applyFont="1" applyFill="1" applyBorder="1" applyAlignment="1">
      <alignment horizontal="right" wrapText="1"/>
    </xf>
    <xf numFmtId="9" fontId="25" fillId="0" borderId="13" xfId="1" applyFont="1" applyFill="1" applyBorder="1" applyAlignment="1">
      <alignment horizontal="right" wrapText="1"/>
    </xf>
    <xf numFmtId="0" fontId="24" fillId="0" borderId="0" xfId="5" applyFont="1" applyFill="1" applyBorder="1" applyAlignment="1">
      <alignment wrapText="1"/>
    </xf>
    <xf numFmtId="9" fontId="26" fillId="0" borderId="13" xfId="1" applyFont="1" applyFill="1" applyBorder="1" applyAlignment="1">
      <alignment horizontal="right" wrapText="1"/>
    </xf>
    <xf numFmtId="9" fontId="27" fillId="0" borderId="13" xfId="1" applyFont="1" applyFill="1" applyBorder="1" applyAlignment="1">
      <alignment horizontal="right" wrapText="1"/>
    </xf>
    <xf numFmtId="0" fontId="26" fillId="0" borderId="0" xfId="5" applyFont="1" applyFill="1" applyBorder="1" applyAlignment="1">
      <alignment horizontal="right" wrapText="1"/>
    </xf>
    <xf numFmtId="0" fontId="2" fillId="0" borderId="0" xfId="0" applyFont="1"/>
    <xf numFmtId="9" fontId="28" fillId="0" borderId="13" xfId="1" applyFont="1" applyFill="1" applyBorder="1" applyAlignment="1">
      <alignment horizontal="right" wrapText="1"/>
    </xf>
    <xf numFmtId="9" fontId="29" fillId="0" borderId="13" xfId="1" applyFont="1" applyFill="1" applyBorder="1" applyAlignment="1">
      <alignment horizontal="right" wrapText="1"/>
    </xf>
    <xf numFmtId="0" fontId="26" fillId="2" borderId="0" xfId="5" applyFont="1" applyFill="1" applyBorder="1" applyAlignment="1">
      <alignment wrapText="1"/>
    </xf>
    <xf numFmtId="9" fontId="26" fillId="2" borderId="13" xfId="1" applyFont="1" applyFill="1" applyBorder="1" applyAlignment="1">
      <alignment horizontal="right" wrapText="1"/>
    </xf>
    <xf numFmtId="9" fontId="30" fillId="2" borderId="13" xfId="1" applyFont="1" applyFill="1" applyBorder="1" applyAlignment="1">
      <alignment horizontal="right" wrapText="1"/>
    </xf>
    <xf numFmtId="0" fontId="31" fillId="8" borderId="12" xfId="5" applyFont="1" applyFill="1" applyBorder="1" applyAlignment="1">
      <alignment horizontal="center"/>
    </xf>
    <xf numFmtId="0" fontId="24" fillId="2" borderId="0" xfId="5" applyFont="1" applyFill="1" applyBorder="1" applyAlignment="1">
      <alignment wrapText="1"/>
    </xf>
    <xf numFmtId="0" fontId="26" fillId="2" borderId="0" xfId="5" applyFont="1" applyFill="1" applyBorder="1" applyAlignment="1">
      <alignment horizontal="right" wrapText="1"/>
    </xf>
    <xf numFmtId="9" fontId="32" fillId="0" borderId="13" xfId="1" applyFont="1" applyFill="1" applyBorder="1" applyAlignment="1">
      <alignment horizontal="right" wrapText="1"/>
    </xf>
    <xf numFmtId="0" fontId="36" fillId="0" borderId="0" xfId="0" applyFont="1" applyAlignment="1">
      <alignment horizontal="center" vertical="center" wrapText="1"/>
    </xf>
    <xf numFmtId="0" fontId="2" fillId="0" borderId="14" xfId="0" applyFont="1" applyBorder="1" applyAlignment="1">
      <alignment vertical="center"/>
    </xf>
    <xf numFmtId="0" fontId="0" fillId="0" borderId="17" xfId="0" applyBorder="1" applyAlignment="1">
      <alignment vertical="center" wrapText="1"/>
    </xf>
    <xf numFmtId="9" fontId="0" fillId="0" borderId="18" xfId="1" applyFont="1" applyBorder="1" applyAlignment="1">
      <alignment horizontal="center" vertical="center"/>
    </xf>
    <xf numFmtId="0" fontId="0" fillId="0" borderId="20" xfId="0" applyBorder="1" applyAlignment="1">
      <alignment vertical="center" wrapText="1"/>
    </xf>
    <xf numFmtId="0" fontId="38" fillId="0" borderId="25" xfId="0" applyFont="1" applyBorder="1" applyAlignment="1">
      <alignment horizontal="center" vertical="center" wrapText="1"/>
    </xf>
    <xf numFmtId="0" fontId="3" fillId="0" borderId="25" xfId="0" applyFont="1" applyBorder="1" applyAlignment="1">
      <alignment horizontal="left" vertical="center"/>
    </xf>
    <xf numFmtId="171" fontId="15" fillId="5" borderId="26" xfId="1" applyNumberFormat="1" applyFont="1" applyFill="1" applyBorder="1" applyAlignment="1">
      <alignment horizontal="center" vertical="center"/>
    </xf>
    <xf numFmtId="0" fontId="3" fillId="0" borderId="27" xfId="0" applyFont="1" applyBorder="1" applyAlignment="1">
      <alignment horizontal="center" vertical="center" wrapText="1"/>
    </xf>
    <xf numFmtId="0" fontId="3" fillId="0" borderId="27" xfId="0" applyFont="1" applyBorder="1" applyAlignment="1">
      <alignment horizontal="left" vertical="center"/>
    </xf>
    <xf numFmtId="9" fontId="2" fillId="5" borderId="26" xfId="1" applyFont="1" applyFill="1" applyBorder="1" applyAlignment="1">
      <alignment horizontal="center" vertical="center"/>
    </xf>
    <xf numFmtId="0" fontId="3" fillId="0" borderId="27" xfId="0" applyFont="1" applyBorder="1" applyAlignment="1">
      <alignment horizontal="center" vertical="center"/>
    </xf>
    <xf numFmtId="0" fontId="16" fillId="0" borderId="27" xfId="0" applyFont="1" applyBorder="1" applyAlignment="1">
      <alignment horizontal="left" vertical="center" wrapText="1"/>
    </xf>
    <xf numFmtId="0" fontId="3" fillId="0" borderId="30" xfId="0" applyFont="1" applyBorder="1" applyAlignment="1">
      <alignment horizontal="center" vertical="center"/>
    </xf>
    <xf numFmtId="0" fontId="3" fillId="0" borderId="30" xfId="0" applyFont="1" applyBorder="1" applyAlignment="1">
      <alignment horizontal="left" vertical="center"/>
    </xf>
    <xf numFmtId="165" fontId="2" fillId="0" borderId="15" xfId="4" applyNumberFormat="1" applyFont="1" applyBorder="1" applyAlignment="1">
      <alignment horizontal="center" vertical="center"/>
    </xf>
    <xf numFmtId="165" fontId="2" fillId="5" borderId="15" xfId="4" applyNumberFormat="1" applyFont="1" applyFill="1" applyBorder="1" applyAlignment="1">
      <alignment horizontal="center" vertical="center"/>
    </xf>
    <xf numFmtId="9" fontId="2" fillId="5" borderId="18" xfId="1" applyNumberFormat="1" applyFont="1" applyFill="1" applyBorder="1" applyAlignment="1">
      <alignment horizontal="center" vertical="center"/>
    </xf>
    <xf numFmtId="170" fontId="0" fillId="0" borderId="18" xfId="0" applyNumberFormat="1" applyBorder="1" applyAlignment="1">
      <alignment horizontal="center" vertical="center"/>
    </xf>
    <xf numFmtId="170" fontId="2" fillId="5" borderId="18" xfId="0" applyNumberFormat="1" applyFont="1" applyFill="1" applyBorder="1" applyAlignment="1">
      <alignment horizontal="center" vertical="center"/>
    </xf>
    <xf numFmtId="168" fontId="0" fillId="0" borderId="18" xfId="0" applyNumberFormat="1" applyBorder="1" applyAlignment="1">
      <alignment horizontal="center" vertical="center"/>
    </xf>
    <xf numFmtId="168" fontId="2" fillId="5" borderId="18" xfId="0" applyNumberFormat="1" applyFont="1" applyFill="1" applyBorder="1" applyAlignment="1">
      <alignment horizontal="center" vertical="center"/>
    </xf>
    <xf numFmtId="0" fontId="14" fillId="0" borderId="17" xfId="0" applyFont="1" applyBorder="1" applyAlignment="1">
      <alignment horizontal="left" vertical="center" wrapText="1" indent="7"/>
    </xf>
    <xf numFmtId="165" fontId="14" fillId="0" borderId="18" xfId="4" applyNumberFormat="1" applyFont="1" applyBorder="1" applyAlignment="1">
      <alignment horizontal="center" vertical="center"/>
    </xf>
    <xf numFmtId="165" fontId="21" fillId="5" borderId="18" xfId="4" applyNumberFormat="1" applyFont="1" applyFill="1" applyBorder="1" applyAlignment="1">
      <alignment horizontal="center" vertical="center"/>
    </xf>
    <xf numFmtId="9" fontId="21" fillId="5" borderId="18" xfId="1" applyNumberFormat="1" applyFont="1" applyFill="1" applyBorder="1" applyAlignment="1">
      <alignment horizontal="center" vertical="center"/>
    </xf>
    <xf numFmtId="165" fontId="0" fillId="0" borderId="18" xfId="4" applyNumberFormat="1" applyFont="1" applyBorder="1" applyAlignment="1">
      <alignment horizontal="center" vertical="center"/>
    </xf>
    <xf numFmtId="165" fontId="2" fillId="5" borderId="18" xfId="4" applyNumberFormat="1" applyFont="1" applyFill="1" applyBorder="1" applyAlignment="1">
      <alignment horizontal="center" vertical="center"/>
    </xf>
    <xf numFmtId="167" fontId="0" fillId="0" borderId="18" xfId="1" applyNumberFormat="1" applyFont="1" applyBorder="1" applyAlignment="1">
      <alignment horizontal="center" vertical="center"/>
    </xf>
    <xf numFmtId="167" fontId="2" fillId="5" borderId="18" xfId="1" applyNumberFormat="1" applyFont="1" applyFill="1" applyBorder="1" applyAlignment="1">
      <alignment horizontal="center" vertical="center"/>
    </xf>
    <xf numFmtId="165" fontId="0" fillId="0" borderId="21" xfId="4" applyNumberFormat="1" applyFont="1" applyBorder="1" applyAlignment="1">
      <alignment horizontal="center" vertical="center"/>
    </xf>
    <xf numFmtId="165" fontId="2" fillId="5" borderId="21" xfId="4" applyNumberFormat="1" applyFont="1" applyFill="1" applyBorder="1" applyAlignment="1">
      <alignment horizontal="center" vertical="center"/>
    </xf>
    <xf numFmtId="0" fontId="36" fillId="0" borderId="25" xfId="0" applyFont="1" applyBorder="1" applyAlignment="1">
      <alignment horizontal="center" vertical="center" wrapText="1"/>
    </xf>
    <xf numFmtId="14" fontId="3" fillId="0" borderId="25" xfId="0" applyNumberFormat="1" applyFont="1" applyBorder="1" applyAlignment="1">
      <alignment horizontal="center" vertical="center"/>
    </xf>
    <xf numFmtId="0" fontId="7" fillId="0" borderId="25" xfId="0" applyFont="1" applyBorder="1" applyAlignment="1">
      <alignment horizontal="left" vertical="center" wrapText="1"/>
    </xf>
    <xf numFmtId="0" fontId="36" fillId="0" borderId="27" xfId="0" applyFont="1" applyBorder="1" applyAlignment="1">
      <alignment horizontal="center" vertical="center" wrapText="1"/>
    </xf>
    <xf numFmtId="14" fontId="3" fillId="0" borderId="27" xfId="0" applyNumberFormat="1" applyFont="1" applyBorder="1" applyAlignment="1">
      <alignment horizontal="center" vertical="center"/>
    </xf>
    <xf numFmtId="0" fontId="7" fillId="0" borderId="27" xfId="0" applyFont="1" applyBorder="1" applyAlignment="1">
      <alignment horizontal="left" vertical="center" wrapText="1"/>
    </xf>
    <xf numFmtId="14" fontId="14" fillId="0" borderId="27" xfId="0" applyNumberFormat="1" applyFont="1" applyBorder="1" applyAlignment="1">
      <alignment horizontal="center" vertical="center"/>
    </xf>
    <xf numFmtId="0" fontId="36" fillId="0" borderId="30" xfId="0" applyFont="1" applyBorder="1" applyAlignment="1">
      <alignment horizontal="center" vertical="center" wrapText="1"/>
    </xf>
    <xf numFmtId="0" fontId="16" fillId="0" borderId="30" xfId="0" applyFont="1" applyBorder="1" applyAlignment="1">
      <alignment horizontal="left" vertical="center" wrapText="1"/>
    </xf>
    <xf numFmtId="0" fontId="35" fillId="0" borderId="27" xfId="0" applyFont="1" applyBorder="1" applyAlignment="1">
      <alignment horizontal="center" vertical="center" wrapText="1"/>
    </xf>
    <xf numFmtId="0" fontId="34" fillId="10" borderId="0" xfId="0" applyFont="1" applyFill="1" applyBorder="1" applyAlignment="1">
      <alignment horizontal="center" vertical="center" wrapText="1"/>
    </xf>
    <xf numFmtId="165" fontId="33" fillId="10" borderId="16" xfId="4" applyNumberFormat="1" applyFont="1" applyFill="1" applyBorder="1" applyAlignment="1">
      <alignment horizontal="center" vertical="center"/>
    </xf>
    <xf numFmtId="170" fontId="33" fillId="10" borderId="19" xfId="0" applyNumberFormat="1" applyFont="1" applyFill="1" applyBorder="1" applyAlignment="1">
      <alignment horizontal="center" vertical="center"/>
    </xf>
    <xf numFmtId="168" fontId="33" fillId="10" borderId="19" xfId="0" applyNumberFormat="1" applyFont="1" applyFill="1" applyBorder="1" applyAlignment="1">
      <alignment horizontal="center" vertical="center"/>
    </xf>
    <xf numFmtId="165" fontId="21" fillId="10" borderId="19" xfId="4" applyNumberFormat="1" applyFont="1" applyFill="1" applyBorder="1" applyAlignment="1">
      <alignment horizontal="center" vertical="center"/>
    </xf>
    <xf numFmtId="9" fontId="21" fillId="10" borderId="19" xfId="1" applyNumberFormat="1" applyFont="1" applyFill="1" applyBorder="1" applyAlignment="1">
      <alignment horizontal="center" vertical="center"/>
    </xf>
    <xf numFmtId="165" fontId="33" fillId="10" borderId="19" xfId="4" applyNumberFormat="1" applyFont="1" applyFill="1" applyBorder="1" applyAlignment="1">
      <alignment horizontal="center" vertical="center"/>
    </xf>
    <xf numFmtId="167" fontId="33" fillId="10" borderId="19" xfId="1" applyNumberFormat="1" applyFont="1" applyFill="1" applyBorder="1" applyAlignment="1">
      <alignment horizontal="center" vertical="center"/>
    </xf>
    <xf numFmtId="165" fontId="33" fillId="10" borderId="22" xfId="4" applyNumberFormat="1" applyFont="1" applyFill="1" applyBorder="1" applyAlignment="1">
      <alignment horizontal="center" vertical="center"/>
    </xf>
    <xf numFmtId="171" fontId="33" fillId="10" borderId="27" xfId="1" applyNumberFormat="1" applyFont="1" applyFill="1" applyBorder="1" applyAlignment="1">
      <alignment horizontal="center" vertical="center"/>
    </xf>
    <xf numFmtId="167" fontId="2" fillId="5" borderId="29" xfId="1" applyNumberFormat="1" applyFont="1" applyFill="1" applyBorder="1" applyAlignment="1">
      <alignment horizontal="center" vertical="center"/>
    </xf>
    <xf numFmtId="0" fontId="2" fillId="0" borderId="17" xfId="0" applyFont="1" applyBorder="1" applyAlignment="1">
      <alignment vertical="center"/>
    </xf>
    <xf numFmtId="165" fontId="2" fillId="0" borderId="18" xfId="4" applyNumberFormat="1" applyFont="1" applyBorder="1" applyAlignment="1">
      <alignment vertical="center"/>
    </xf>
    <xf numFmtId="0" fontId="2" fillId="0" borderId="20" xfId="0" applyFont="1" applyBorder="1" applyAlignment="1">
      <alignment vertical="center" wrapText="1"/>
    </xf>
    <xf numFmtId="0" fontId="2" fillId="0" borderId="14" xfId="0" applyFont="1" applyBorder="1" applyAlignment="1">
      <alignment vertical="center" wrapText="1"/>
    </xf>
    <xf numFmtId="0" fontId="2" fillId="0" borderId="17" xfId="0" applyFont="1" applyBorder="1" applyAlignment="1">
      <alignment horizontal="left" vertical="center" wrapText="1" indent="4"/>
    </xf>
    <xf numFmtId="165" fontId="2" fillId="5" borderId="18" xfId="4" applyNumberFormat="1" applyFont="1" applyFill="1" applyBorder="1" applyAlignment="1">
      <alignment vertical="center"/>
    </xf>
    <xf numFmtId="165" fontId="33" fillId="10" borderId="19" xfId="4" applyNumberFormat="1" applyFont="1" applyFill="1" applyBorder="1" applyAlignment="1">
      <alignment vertical="center"/>
    </xf>
    <xf numFmtId="0" fontId="6" fillId="0" borderId="17" xfId="0" applyFont="1" applyBorder="1" applyAlignment="1">
      <alignment horizontal="left" vertical="center" wrapText="1" indent="9"/>
    </xf>
    <xf numFmtId="9" fontId="0" fillId="0" borderId="18" xfId="1" applyFont="1" applyBorder="1" applyAlignment="1">
      <alignment horizontal="right" vertical="center"/>
    </xf>
    <xf numFmtId="9" fontId="2" fillId="5" borderId="18" xfId="1" applyFont="1" applyFill="1" applyBorder="1" applyAlignment="1">
      <alignment horizontal="right" vertical="center"/>
    </xf>
    <xf numFmtId="9" fontId="33" fillId="10" borderId="19" xfId="1" applyFont="1" applyFill="1" applyBorder="1" applyAlignment="1">
      <alignment horizontal="right" vertical="center"/>
    </xf>
    <xf numFmtId="171" fontId="0" fillId="0" borderId="18" xfId="1" applyNumberFormat="1" applyFont="1" applyBorder="1" applyAlignment="1">
      <alignment horizontal="right" vertical="center"/>
    </xf>
    <xf numFmtId="171" fontId="2" fillId="5" borderId="18" xfId="1" applyNumberFormat="1" applyFont="1" applyFill="1" applyBorder="1" applyAlignment="1">
      <alignment horizontal="right" vertical="center"/>
    </xf>
    <xf numFmtId="171" fontId="33" fillId="10" borderId="19" xfId="1" applyNumberFormat="1" applyFont="1" applyFill="1" applyBorder="1" applyAlignment="1">
      <alignment horizontal="right" vertical="center"/>
    </xf>
    <xf numFmtId="167" fontId="0" fillId="0" borderId="18" xfId="1" applyNumberFormat="1" applyFont="1" applyBorder="1" applyAlignment="1">
      <alignment horizontal="right" vertical="center"/>
    </xf>
    <xf numFmtId="167" fontId="2" fillId="5" borderId="18" xfId="1" applyNumberFormat="1" applyFont="1" applyFill="1" applyBorder="1" applyAlignment="1">
      <alignment horizontal="right" vertical="center"/>
    </xf>
    <xf numFmtId="167" fontId="33" fillId="10" borderId="19" xfId="1" applyNumberFormat="1" applyFont="1" applyFill="1" applyBorder="1" applyAlignment="1">
      <alignment horizontal="right" vertical="center"/>
    </xf>
    <xf numFmtId="0" fontId="2" fillId="0" borderId="17" xfId="0" applyFont="1" applyBorder="1" applyAlignment="1">
      <alignment horizontal="left" vertical="center" indent="4"/>
    </xf>
    <xf numFmtId="0" fontId="15" fillId="0" borderId="17" xfId="0" applyFont="1" applyBorder="1" applyAlignment="1">
      <alignment horizontal="left" vertical="center" wrapText="1" indent="4"/>
    </xf>
    <xf numFmtId="0" fontId="6" fillId="0" borderId="20" xfId="0" applyFont="1" applyBorder="1" applyAlignment="1">
      <alignment horizontal="left" vertical="center" wrapText="1" indent="9"/>
    </xf>
    <xf numFmtId="167" fontId="0" fillId="0" borderId="21" xfId="1" applyNumberFormat="1" applyFont="1" applyBorder="1" applyAlignment="1">
      <alignment horizontal="right" vertical="center"/>
    </xf>
    <xf numFmtId="167" fontId="2" fillId="5" borderId="21" xfId="1" applyNumberFormat="1" applyFont="1" applyFill="1" applyBorder="1" applyAlignment="1">
      <alignment horizontal="right" vertical="center"/>
    </xf>
    <xf numFmtId="167" fontId="33" fillId="10" borderId="22" xfId="1" applyNumberFormat="1" applyFont="1" applyFill="1" applyBorder="1" applyAlignment="1">
      <alignment horizontal="right" vertical="center"/>
    </xf>
    <xf numFmtId="0" fontId="8" fillId="0" borderId="27" xfId="0" applyFont="1" applyBorder="1" applyAlignment="1">
      <alignment horizontal="left" vertical="center" wrapText="1"/>
    </xf>
    <xf numFmtId="0" fontId="3" fillId="0" borderId="27" xfId="0" applyFont="1" applyBorder="1" applyAlignment="1">
      <alignment horizontal="left" vertical="center" wrapText="1"/>
    </xf>
    <xf numFmtId="0" fontId="18" fillId="6" borderId="17" xfId="0" applyFont="1" applyFill="1" applyBorder="1" applyAlignment="1">
      <alignment vertical="center" wrapText="1"/>
    </xf>
    <xf numFmtId="0" fontId="0" fillId="6" borderId="18" xfId="0" applyFill="1" applyBorder="1" applyAlignment="1">
      <alignment vertical="center"/>
    </xf>
    <xf numFmtId="0" fontId="0" fillId="6" borderId="19" xfId="0" applyFill="1" applyBorder="1" applyAlignment="1">
      <alignment vertical="center"/>
    </xf>
    <xf numFmtId="165" fontId="2" fillId="0" borderId="18" xfId="4" applyNumberFormat="1" applyFont="1" applyBorder="1" applyAlignment="1">
      <alignment horizontal="center" vertical="center"/>
    </xf>
    <xf numFmtId="0" fontId="18" fillId="6" borderId="17" xfId="0" applyFont="1" applyFill="1" applyBorder="1" applyAlignment="1">
      <alignment horizontal="left" vertical="center" wrapText="1"/>
    </xf>
    <xf numFmtId="9" fontId="0" fillId="6" borderId="18" xfId="1" applyFont="1" applyFill="1" applyBorder="1" applyAlignment="1">
      <alignment horizontal="right" vertical="center"/>
    </xf>
    <xf numFmtId="9" fontId="0" fillId="6" borderId="19" xfId="1" applyFont="1" applyFill="1" applyBorder="1" applyAlignment="1">
      <alignment horizontal="right" vertical="center"/>
    </xf>
    <xf numFmtId="9" fontId="0" fillId="0" borderId="21" xfId="1" applyFont="1" applyBorder="1" applyAlignment="1">
      <alignment horizontal="right" vertical="center"/>
    </xf>
    <xf numFmtId="9" fontId="2" fillId="5" borderId="21" xfId="1" applyFont="1" applyFill="1" applyBorder="1" applyAlignment="1">
      <alignment horizontal="right" vertical="center"/>
    </xf>
    <xf numFmtId="0" fontId="3" fillId="6" borderId="27" xfId="0" applyFont="1" applyFill="1" applyBorder="1" applyAlignment="1">
      <alignment horizontal="center" vertical="center" wrapText="1"/>
    </xf>
    <xf numFmtId="14" fontId="3" fillId="6" borderId="27" xfId="0" applyNumberFormat="1" applyFont="1" applyFill="1" applyBorder="1" applyAlignment="1">
      <alignment horizontal="center" vertical="center"/>
    </xf>
    <xf numFmtId="0" fontId="3" fillId="6" borderId="27" xfId="0" applyFont="1" applyFill="1" applyBorder="1" applyAlignment="1">
      <alignment horizontal="left" vertical="center"/>
    </xf>
    <xf numFmtId="14" fontId="3" fillId="0" borderId="30" xfId="0" applyNumberFormat="1" applyFont="1" applyBorder="1" applyAlignment="1">
      <alignment horizontal="center" vertical="center"/>
    </xf>
    <xf numFmtId="9" fontId="26" fillId="0" borderId="0" xfId="1" applyFont="1" applyFill="1" applyBorder="1" applyAlignment="1">
      <alignment horizontal="right" wrapText="1"/>
    </xf>
    <xf numFmtId="9" fontId="27" fillId="0" borderId="0" xfId="1" applyFont="1" applyFill="1" applyBorder="1" applyAlignment="1">
      <alignment horizontal="right" wrapText="1"/>
    </xf>
    <xf numFmtId="0" fontId="24" fillId="0" borderId="0" xfId="5" applyFont="1" applyFill="1" applyBorder="1" applyAlignment="1">
      <alignment horizontal="center"/>
    </xf>
    <xf numFmtId="0" fontId="0" fillId="0" borderId="0" xfId="0" applyFill="1"/>
    <xf numFmtId="0" fontId="31" fillId="8" borderId="12" xfId="5" applyFont="1" applyFill="1" applyBorder="1" applyAlignment="1">
      <alignment horizontal="center" wrapText="1"/>
    </xf>
    <xf numFmtId="0" fontId="24" fillId="7" borderId="12" xfId="5" applyFont="1" applyFill="1" applyBorder="1" applyAlignment="1">
      <alignment horizontal="center" wrapText="1"/>
    </xf>
    <xf numFmtId="0" fontId="31" fillId="11" borderId="12" xfId="5" applyFont="1" applyFill="1" applyBorder="1" applyAlignment="1">
      <alignment horizontal="center" wrapText="1"/>
    </xf>
    <xf numFmtId="9" fontId="24" fillId="9" borderId="31" xfId="1" applyFont="1" applyFill="1" applyBorder="1" applyAlignment="1">
      <alignment horizontal="right" wrapText="1"/>
    </xf>
    <xf numFmtId="9" fontId="24" fillId="9" borderId="13" xfId="1" applyFont="1" applyFill="1" applyBorder="1" applyAlignment="1">
      <alignment horizontal="right" wrapText="1"/>
    </xf>
    <xf numFmtId="9" fontId="28" fillId="9" borderId="13" xfId="1" applyFont="1" applyFill="1" applyBorder="1" applyAlignment="1">
      <alignment horizontal="right" wrapText="1"/>
    </xf>
    <xf numFmtId="0" fontId="3" fillId="0" borderId="0" xfId="0" applyFont="1"/>
    <xf numFmtId="9" fontId="2" fillId="5" borderId="18" xfId="1" applyNumberFormat="1" applyFont="1" applyFill="1" applyBorder="1" applyAlignment="1">
      <alignment horizontal="right" vertical="center"/>
    </xf>
    <xf numFmtId="9" fontId="33" fillId="10" borderId="19" xfId="1" applyNumberFormat="1" applyFont="1" applyFill="1" applyBorder="1" applyAlignment="1">
      <alignment horizontal="right" vertical="center"/>
    </xf>
    <xf numFmtId="9" fontId="33" fillId="10" borderId="22" xfId="1" applyFont="1" applyFill="1" applyBorder="1" applyAlignment="1">
      <alignment horizontal="right" vertical="center"/>
    </xf>
    <xf numFmtId="9" fontId="33" fillId="10" borderId="27" xfId="1" quotePrefix="1" applyFont="1" applyFill="1" applyBorder="1" applyAlignment="1">
      <alignment horizontal="center" vertical="center"/>
    </xf>
    <xf numFmtId="9" fontId="33" fillId="10" borderId="19" xfId="1" quotePrefix="1" applyNumberFormat="1" applyFont="1" applyFill="1" applyBorder="1" applyAlignment="1">
      <alignment horizontal="center" vertical="center"/>
    </xf>
    <xf numFmtId="0" fontId="3" fillId="0" borderId="0" xfId="0" applyFont="1" applyBorder="1" applyAlignment="1">
      <alignment horizontal="left" vertical="center"/>
    </xf>
    <xf numFmtId="0" fontId="41" fillId="0" borderId="0" xfId="0" applyFont="1"/>
    <xf numFmtId="0" fontId="42" fillId="0" borderId="17" xfId="0" applyFont="1" applyBorder="1" applyAlignment="1">
      <alignment horizontal="left" vertical="center" wrapText="1" indent="9"/>
    </xf>
    <xf numFmtId="168" fontId="5" fillId="0" borderId="18" xfId="4" applyNumberFormat="1" applyFont="1" applyBorder="1" applyAlignment="1">
      <alignment horizontal="right" vertical="center"/>
    </xf>
    <xf numFmtId="168" fontId="15" fillId="5" borderId="18" xfId="4" applyNumberFormat="1" applyFont="1" applyFill="1" applyBorder="1" applyAlignment="1">
      <alignment horizontal="right" vertical="center"/>
    </xf>
    <xf numFmtId="168" fontId="5" fillId="0" borderId="18" xfId="4" applyNumberFormat="1" applyFont="1" applyBorder="1" applyAlignment="1">
      <alignment horizontal="center" vertical="center"/>
    </xf>
    <xf numFmtId="165" fontId="28" fillId="0" borderId="32" xfId="4" applyNumberFormat="1" applyFont="1" applyFill="1" applyBorder="1" applyAlignment="1">
      <alignment horizontal="center" wrapText="1"/>
    </xf>
    <xf numFmtId="165" fontId="32" fillId="0" borderId="32" xfId="4" applyNumberFormat="1" applyFont="1" applyFill="1" applyBorder="1" applyAlignment="1">
      <alignment horizontal="center" wrapText="1"/>
    </xf>
    <xf numFmtId="165" fontId="25" fillId="0" borderId="32" xfId="4" applyNumberFormat="1" applyFont="1" applyFill="1" applyBorder="1" applyAlignment="1">
      <alignment horizontal="center" wrapText="1"/>
    </xf>
    <xf numFmtId="165" fontId="43" fillId="2" borderId="32" xfId="4" applyNumberFormat="1" applyFont="1" applyFill="1" applyBorder="1" applyAlignment="1">
      <alignment horizontal="center" wrapText="1"/>
    </xf>
    <xf numFmtId="0" fontId="10" fillId="4" borderId="0" xfId="2" applyFont="1" applyFill="1" applyBorder="1"/>
    <xf numFmtId="9" fontId="26" fillId="6" borderId="33" xfId="1" applyFont="1" applyFill="1" applyBorder="1" applyAlignment="1">
      <alignment horizontal="right" wrapText="1"/>
    </xf>
    <xf numFmtId="0" fontId="43" fillId="12" borderId="34" xfId="6" applyFont="1" applyFill="1" applyBorder="1" applyAlignment="1">
      <alignment horizontal="center" vertical="center" wrapText="1"/>
    </xf>
    <xf numFmtId="0" fontId="24" fillId="0" borderId="34" xfId="6" applyFont="1" applyFill="1" applyBorder="1" applyAlignment="1">
      <alignment horizontal="center" wrapText="1"/>
    </xf>
    <xf numFmtId="0" fontId="24" fillId="0" borderId="34" xfId="6" applyFont="1" applyFill="1" applyBorder="1" applyAlignment="1">
      <alignment wrapText="1"/>
    </xf>
    <xf numFmtId="165" fontId="24" fillId="0" borderId="34" xfId="4" applyNumberFormat="1" applyFont="1" applyFill="1" applyBorder="1" applyAlignment="1">
      <alignment horizontal="right" wrapText="1"/>
    </xf>
    <xf numFmtId="9" fontId="24" fillId="0" borderId="34" xfId="1" applyNumberFormat="1" applyFont="1" applyFill="1" applyBorder="1" applyAlignment="1">
      <alignment horizontal="right" wrapText="1"/>
    </xf>
    <xf numFmtId="165" fontId="0" fillId="0" borderId="34" xfId="0" applyNumberFormat="1" applyBorder="1"/>
    <xf numFmtId="165" fontId="12" fillId="3" borderId="34" xfId="4" applyNumberFormat="1" applyFont="1" applyFill="1" applyBorder="1" applyAlignment="1">
      <alignment horizontal="right" wrapText="1"/>
    </xf>
    <xf numFmtId="9" fontId="12" fillId="3" borderId="34" xfId="1" applyNumberFormat="1" applyFont="1" applyFill="1" applyBorder="1" applyAlignment="1">
      <alignment horizontal="right" wrapText="1"/>
    </xf>
    <xf numFmtId="165" fontId="1" fillId="3" borderId="34" xfId="0" applyNumberFormat="1" applyFont="1" applyFill="1" applyBorder="1"/>
    <xf numFmtId="0" fontId="26" fillId="4" borderId="0" xfId="6" applyFont="1" applyFill="1" applyBorder="1" applyAlignment="1">
      <alignment wrapText="1"/>
    </xf>
    <xf numFmtId="0" fontId="26" fillId="4" borderId="37" xfId="6" applyFont="1" applyFill="1" applyBorder="1" applyAlignment="1">
      <alignment wrapText="1"/>
    </xf>
    <xf numFmtId="165" fontId="26" fillId="4" borderId="0" xfId="4" applyNumberFormat="1" applyFont="1" applyFill="1" applyBorder="1" applyAlignment="1">
      <alignment horizontal="right" wrapText="1"/>
    </xf>
    <xf numFmtId="9" fontId="26" fillId="4" borderId="0" xfId="1" applyNumberFormat="1" applyFont="1" applyFill="1" applyBorder="1" applyAlignment="1">
      <alignment horizontal="right" wrapText="1"/>
    </xf>
    <xf numFmtId="165" fontId="2" fillId="4" borderId="0" xfId="0" applyNumberFormat="1" applyFont="1" applyFill="1"/>
    <xf numFmtId="165" fontId="2" fillId="5" borderId="34" xfId="0" applyNumberFormat="1" applyFont="1" applyFill="1" applyBorder="1"/>
    <xf numFmtId="0" fontId="2" fillId="5" borderId="34" xfId="0" applyFont="1" applyFill="1" applyBorder="1"/>
    <xf numFmtId="0" fontId="45" fillId="0" borderId="0" xfId="0" applyFont="1" applyAlignment="1">
      <alignment horizontal="right"/>
    </xf>
    <xf numFmtId="9" fontId="14" fillId="0" borderId="18" xfId="1" applyNumberFormat="1" applyFont="1" applyBorder="1" applyAlignment="1">
      <alignment horizontal="center" vertical="center"/>
    </xf>
    <xf numFmtId="168" fontId="33" fillId="10" borderId="19" xfId="4" applyNumberFormat="1" applyFont="1" applyFill="1" applyBorder="1" applyAlignment="1">
      <alignment horizontal="right" vertical="center"/>
    </xf>
    <xf numFmtId="168" fontId="33" fillId="10" borderId="19" xfId="4" applyNumberFormat="1" applyFont="1" applyFill="1" applyBorder="1" applyAlignment="1">
      <alignment vertical="center"/>
    </xf>
    <xf numFmtId="9" fontId="43" fillId="2" borderId="13" xfId="1" applyFont="1" applyFill="1" applyBorder="1" applyAlignment="1">
      <alignment horizontal="right" wrapText="1"/>
    </xf>
    <xf numFmtId="9" fontId="46" fillId="2" borderId="13" xfId="1" applyFont="1" applyFill="1" applyBorder="1" applyAlignment="1">
      <alignment horizontal="right" wrapText="1"/>
    </xf>
    <xf numFmtId="172" fontId="24" fillId="0" borderId="34" xfId="4" applyNumberFormat="1" applyFont="1" applyFill="1" applyBorder="1" applyAlignment="1">
      <alignment horizontal="right" wrapText="1"/>
    </xf>
    <xf numFmtId="172" fontId="12" fillId="3" borderId="34" xfId="4" applyNumberFormat="1" applyFont="1" applyFill="1" applyBorder="1" applyAlignment="1">
      <alignment horizontal="right" wrapText="1"/>
    </xf>
    <xf numFmtId="172" fontId="26" fillId="4" borderId="0" xfId="4" applyNumberFormat="1" applyFont="1" applyFill="1" applyBorder="1" applyAlignment="1">
      <alignment horizontal="right" wrapText="1"/>
    </xf>
    <xf numFmtId="172" fontId="2" fillId="5" borderId="34" xfId="0" applyNumberFormat="1" applyFont="1" applyFill="1" applyBorder="1"/>
    <xf numFmtId="14" fontId="43" fillId="12" borderId="34" xfId="6" applyNumberFormat="1" applyFont="1" applyFill="1" applyBorder="1" applyAlignment="1">
      <alignment horizontal="center" vertical="center" wrapText="1"/>
    </xf>
    <xf numFmtId="171" fontId="24" fillId="0" borderId="34" xfId="1" applyNumberFormat="1" applyFont="1" applyFill="1" applyBorder="1" applyAlignment="1">
      <alignment horizontal="right" wrapText="1"/>
    </xf>
    <xf numFmtId="171" fontId="12" fillId="3" borderId="34" xfId="1" applyNumberFormat="1" applyFont="1" applyFill="1" applyBorder="1" applyAlignment="1">
      <alignment horizontal="right" wrapText="1"/>
    </xf>
    <xf numFmtId="171" fontId="26" fillId="4" borderId="0" xfId="1" applyNumberFormat="1" applyFont="1" applyFill="1" applyBorder="1" applyAlignment="1">
      <alignment horizontal="right" wrapText="1"/>
    </xf>
    <xf numFmtId="171" fontId="2" fillId="5" borderId="34" xfId="1" applyNumberFormat="1" applyFont="1" applyFill="1" applyBorder="1"/>
    <xf numFmtId="0" fontId="24" fillId="0" borderId="13" xfId="7" applyFont="1" applyFill="1" applyBorder="1" applyAlignment="1">
      <alignment horizontal="right" wrapText="1"/>
    </xf>
    <xf numFmtId="0" fontId="47" fillId="0" borderId="0" xfId="0" applyFont="1"/>
    <xf numFmtId="0" fontId="48" fillId="0" borderId="0" xfId="0" applyFont="1"/>
    <xf numFmtId="0" fontId="49" fillId="7" borderId="12" xfId="7" applyFont="1" applyFill="1" applyBorder="1" applyAlignment="1">
      <alignment horizontal="center"/>
    </xf>
    <xf numFmtId="0" fontId="24" fillId="0" borderId="13" xfId="8" applyFont="1" applyFill="1" applyBorder="1" applyAlignment="1">
      <alignment horizontal="left" wrapText="1"/>
    </xf>
    <xf numFmtId="0" fontId="24" fillId="0" borderId="13" xfId="9" applyFont="1" applyFill="1" applyBorder="1" applyAlignment="1">
      <alignment horizontal="right" wrapText="1"/>
    </xf>
    <xf numFmtId="0" fontId="49" fillId="7" borderId="12" xfId="7" applyFont="1" applyFill="1" applyBorder="1" applyAlignment="1">
      <alignment horizontal="center" vertical="center"/>
    </xf>
    <xf numFmtId="0" fontId="49" fillId="7" borderId="12" xfId="7" applyFont="1" applyFill="1" applyBorder="1" applyAlignment="1">
      <alignment horizontal="center" vertical="center" wrapText="1"/>
    </xf>
    <xf numFmtId="9" fontId="25" fillId="0" borderId="34" xfId="1" applyNumberFormat="1" applyFont="1" applyFill="1" applyBorder="1" applyAlignment="1">
      <alignment horizontal="right" wrapText="1"/>
    </xf>
    <xf numFmtId="9" fontId="0" fillId="0" borderId="0" xfId="1" applyFont="1"/>
    <xf numFmtId="0" fontId="3" fillId="3" borderId="0" xfId="0" applyFont="1" applyFill="1" applyBorder="1" applyAlignment="1">
      <alignment horizontal="center" vertical="center"/>
    </xf>
    <xf numFmtId="0" fontId="3" fillId="3" borderId="0" xfId="0" applyFont="1" applyFill="1" applyBorder="1" applyAlignment="1">
      <alignment horizontal="left" vertical="center"/>
    </xf>
    <xf numFmtId="0" fontId="42" fillId="0" borderId="20" xfId="0" applyFont="1" applyBorder="1" applyAlignment="1">
      <alignment horizontal="left" vertical="center" wrapText="1" indent="9"/>
    </xf>
    <xf numFmtId="168" fontId="5" fillId="0" borderId="21" xfId="4" applyNumberFormat="1" applyFont="1" applyBorder="1" applyAlignment="1">
      <alignment horizontal="right" vertical="center"/>
    </xf>
    <xf numFmtId="168" fontId="5" fillId="0" borderId="21" xfId="4" applyNumberFormat="1" applyFont="1" applyBorder="1" applyAlignment="1">
      <alignment horizontal="center" vertical="center"/>
    </xf>
    <xf numFmtId="168" fontId="15" fillId="5" borderId="21" xfId="4" applyNumberFormat="1" applyFont="1" applyFill="1" applyBorder="1" applyAlignment="1">
      <alignment horizontal="right" vertical="center"/>
    </xf>
    <xf numFmtId="168" fontId="33" fillId="10" borderId="22" xfId="4" applyNumberFormat="1" applyFont="1" applyFill="1" applyBorder="1" applyAlignment="1">
      <alignment horizontal="right" vertical="center"/>
    </xf>
    <xf numFmtId="0" fontId="0" fillId="3" borderId="0" xfId="0" applyFill="1" applyBorder="1" applyAlignment="1">
      <alignment vertical="center" wrapText="1"/>
    </xf>
    <xf numFmtId="0" fontId="0" fillId="3" borderId="0" xfId="0" applyFill="1" applyBorder="1" applyAlignment="1">
      <alignment vertical="center"/>
    </xf>
    <xf numFmtId="0" fontId="3" fillId="3" borderId="0" xfId="0" applyFont="1" applyFill="1" applyBorder="1" applyAlignment="1">
      <alignment horizontal="center" vertical="center" wrapText="1"/>
    </xf>
    <xf numFmtId="165" fontId="51" fillId="0" borderId="32" xfId="4" applyNumberFormat="1" applyFont="1" applyFill="1" applyBorder="1" applyAlignment="1">
      <alignment horizontal="center" wrapText="1"/>
    </xf>
    <xf numFmtId="0" fontId="0" fillId="0" borderId="0" xfId="0" applyBorder="1" applyAlignment="1"/>
    <xf numFmtId="0" fontId="26" fillId="0" borderId="0" xfId="8" applyFont="1" applyFill="1" applyBorder="1" applyAlignment="1">
      <alignment horizontal="left" wrapText="1"/>
    </xf>
    <xf numFmtId="3" fontId="24" fillId="0" borderId="13" xfId="8" applyNumberFormat="1" applyFont="1" applyFill="1" applyBorder="1" applyAlignment="1">
      <alignment horizontal="right" wrapText="1"/>
    </xf>
    <xf numFmtId="3" fontId="24" fillId="0" borderId="13" xfId="7" applyNumberFormat="1" applyFont="1" applyFill="1" applyBorder="1" applyAlignment="1">
      <alignment horizontal="right" wrapText="1"/>
    </xf>
    <xf numFmtId="3" fontId="0" fillId="0" borderId="0" xfId="0" applyNumberFormat="1"/>
    <xf numFmtId="0" fontId="24" fillId="0" borderId="0" xfId="9" applyFont="1" applyFill="1" applyBorder="1" applyAlignment="1">
      <alignment horizontal="right" wrapText="1"/>
    </xf>
    <xf numFmtId="0" fontId="0" fillId="0" borderId="45" xfId="0" applyBorder="1"/>
    <xf numFmtId="165" fontId="2" fillId="0" borderId="45" xfId="4" applyNumberFormat="1" applyFont="1" applyBorder="1"/>
    <xf numFmtId="165" fontId="2" fillId="0" borderId="46" xfId="4" applyNumberFormat="1" applyFont="1" applyBorder="1"/>
    <xf numFmtId="165" fontId="2" fillId="0" borderId="47" xfId="4" applyNumberFormat="1" applyFont="1" applyBorder="1"/>
    <xf numFmtId="165" fontId="2" fillId="0" borderId="48" xfId="4" applyNumberFormat="1" applyFont="1" applyBorder="1"/>
    <xf numFmtId="0" fontId="2" fillId="0" borderId="49" xfId="0" applyFont="1" applyBorder="1"/>
    <xf numFmtId="165" fontId="0" fillId="0" borderId="49" xfId="4" applyNumberFormat="1" applyFont="1" applyBorder="1"/>
    <xf numFmtId="165" fontId="0" fillId="0" borderId="7" xfId="4" applyNumberFormat="1" applyFont="1" applyBorder="1"/>
    <xf numFmtId="165" fontId="0" fillId="0" borderId="4" xfId="4" applyNumberFormat="1" applyFont="1" applyBorder="1"/>
    <xf numFmtId="165" fontId="0" fillId="0" borderId="50" xfId="4" applyNumberFormat="1" applyFont="1" applyBorder="1"/>
    <xf numFmtId="0" fontId="2" fillId="0" borderId="49" xfId="0" applyFont="1" applyBorder="1" applyAlignment="1">
      <alignment horizontal="left"/>
    </xf>
    <xf numFmtId="0" fontId="2" fillId="0" borderId="51" xfId="0" applyFont="1" applyBorder="1"/>
    <xf numFmtId="165" fontId="2" fillId="0" borderId="51" xfId="4" applyNumberFormat="1" applyFont="1" applyBorder="1"/>
    <xf numFmtId="165" fontId="2" fillId="0" borderId="52" xfId="4" applyNumberFormat="1" applyFont="1" applyBorder="1"/>
    <xf numFmtId="165" fontId="2" fillId="0" borderId="53" xfId="4" applyNumberFormat="1" applyFont="1" applyBorder="1"/>
    <xf numFmtId="165" fontId="2" fillId="0" borderId="54" xfId="4" applyNumberFormat="1" applyFont="1" applyBorder="1"/>
    <xf numFmtId="0" fontId="18" fillId="0" borderId="55" xfId="0" applyFont="1" applyFill="1" applyBorder="1"/>
    <xf numFmtId="0" fontId="18" fillId="0" borderId="56" xfId="0" applyFont="1" applyFill="1" applyBorder="1"/>
    <xf numFmtId="0" fontId="0" fillId="0" borderId="57" xfId="0" applyBorder="1"/>
    <xf numFmtId="165" fontId="2" fillId="0" borderId="57" xfId="4" applyNumberFormat="1" applyFont="1" applyBorder="1"/>
    <xf numFmtId="165" fontId="2" fillId="0" borderId="3" xfId="4" applyNumberFormat="1" applyFont="1" applyBorder="1"/>
    <xf numFmtId="0" fontId="2" fillId="2" borderId="45" xfId="0" applyFont="1" applyFill="1" applyBorder="1"/>
    <xf numFmtId="165" fontId="2" fillId="2" borderId="45" xfId="4" applyNumberFormat="1" applyFont="1" applyFill="1" applyBorder="1"/>
    <xf numFmtId="165" fontId="2" fillId="2" borderId="58" xfId="4" applyNumberFormat="1" applyFont="1" applyFill="1" applyBorder="1"/>
    <xf numFmtId="0" fontId="0" fillId="0" borderId="49" xfId="0" applyFont="1" applyBorder="1" applyAlignment="1">
      <alignment horizontal="right"/>
    </xf>
    <xf numFmtId="165" fontId="0" fillId="0" borderId="9" xfId="4" applyNumberFormat="1" applyFont="1" applyBorder="1"/>
    <xf numFmtId="0" fontId="0" fillId="0" borderId="51" xfId="0" applyFont="1" applyBorder="1" applyAlignment="1">
      <alignment horizontal="right"/>
    </xf>
    <xf numFmtId="165" fontId="0" fillId="0" borderId="51" xfId="4" applyNumberFormat="1" applyFont="1" applyBorder="1"/>
    <xf numFmtId="165" fontId="0" fillId="0" borderId="8" xfId="4" applyNumberFormat="1" applyFont="1" applyBorder="1"/>
    <xf numFmtId="0" fontId="2" fillId="2" borderId="49" xfId="0" applyFont="1" applyFill="1" applyBorder="1"/>
    <xf numFmtId="165" fontId="2" fillId="2" borderId="49" xfId="4" applyNumberFormat="1" applyFont="1" applyFill="1" applyBorder="1"/>
    <xf numFmtId="165" fontId="2" fillId="2" borderId="9" xfId="4" applyNumberFormat="1" applyFont="1" applyFill="1" applyBorder="1"/>
    <xf numFmtId="0" fontId="0" fillId="0" borderId="59" xfId="0" applyFont="1" applyBorder="1" applyAlignment="1">
      <alignment horizontal="right"/>
    </xf>
    <xf numFmtId="165" fontId="0" fillId="0" borderId="59" xfId="4" applyNumberFormat="1" applyFont="1" applyBorder="1"/>
    <xf numFmtId="165" fontId="0" fillId="0" borderId="60" xfId="4" applyNumberFormat="1" applyFont="1" applyBorder="1"/>
    <xf numFmtId="0" fontId="0" fillId="0" borderId="4" xfId="0" applyFont="1" applyBorder="1" applyAlignment="1">
      <alignment horizontal="right"/>
    </xf>
    <xf numFmtId="165" fontId="2" fillId="0" borderId="49" xfId="4" applyNumberFormat="1" applyFont="1" applyBorder="1"/>
    <xf numFmtId="165" fontId="2" fillId="0" borderId="9" xfId="4" applyNumberFormat="1" applyFont="1" applyBorder="1"/>
    <xf numFmtId="0" fontId="2" fillId="0" borderId="59" xfId="0" applyFont="1" applyBorder="1"/>
    <xf numFmtId="0" fontId="2" fillId="0" borderId="61" xfId="0" applyFont="1" applyBorder="1"/>
    <xf numFmtId="165" fontId="2" fillId="0" borderId="61" xfId="4" applyNumberFormat="1" applyFont="1" applyBorder="1"/>
    <xf numFmtId="165" fontId="2" fillId="0" borderId="6" xfId="4" applyNumberFormat="1" applyFont="1" applyBorder="1"/>
    <xf numFmtId="0" fontId="0" fillId="0" borderId="61" xfId="0" applyBorder="1"/>
    <xf numFmtId="165" fontId="2" fillId="0" borderId="44" xfId="4" applyNumberFormat="1" applyFont="1" applyBorder="1"/>
    <xf numFmtId="0" fontId="0" fillId="0" borderId="62" xfId="0" applyBorder="1"/>
    <xf numFmtId="165" fontId="0" fillId="0" borderId="63" xfId="4" applyNumberFormat="1" applyFont="1" applyBorder="1"/>
    <xf numFmtId="165" fontId="2" fillId="5" borderId="23" xfId="4" applyNumberFormat="1" applyFont="1" applyFill="1" applyBorder="1" applyAlignment="1">
      <alignment horizontal="center" vertical="center"/>
    </xf>
    <xf numFmtId="165" fontId="2" fillId="5" borderId="24" xfId="4" applyNumberFormat="1" applyFont="1" applyFill="1" applyBorder="1" applyAlignment="1">
      <alignment horizontal="center" vertical="center"/>
    </xf>
    <xf numFmtId="165" fontId="33" fillId="10" borderId="25" xfId="4" applyNumberFormat="1" applyFont="1" applyFill="1" applyBorder="1" applyAlignment="1">
      <alignment horizontal="center" vertical="center"/>
    </xf>
    <xf numFmtId="17" fontId="3" fillId="0" borderId="25" xfId="0" applyNumberFormat="1" applyFont="1" applyBorder="1" applyAlignment="1">
      <alignment horizontal="center" vertical="center"/>
    </xf>
    <xf numFmtId="167" fontId="2" fillId="5" borderId="28" xfId="1" quotePrefix="1" applyNumberFormat="1" applyFont="1" applyFill="1" applyBorder="1" applyAlignment="1">
      <alignment horizontal="center" vertical="center"/>
    </xf>
    <xf numFmtId="17" fontId="3" fillId="0" borderId="25" xfId="0" applyNumberFormat="1" applyFont="1" applyBorder="1" applyAlignment="1">
      <alignment horizontal="center" vertical="center" wrapText="1"/>
    </xf>
    <xf numFmtId="9" fontId="0" fillId="4" borderId="0" xfId="1" applyNumberFormat="1" applyFont="1" applyFill="1" applyAlignment="1">
      <alignment horizontal="center" vertical="center"/>
    </xf>
    <xf numFmtId="9" fontId="2" fillId="5" borderId="28" xfId="1" applyFont="1" applyFill="1" applyBorder="1" applyAlignment="1">
      <alignment horizontal="center" vertical="center"/>
    </xf>
    <xf numFmtId="9" fontId="0" fillId="0" borderId="0" xfId="1" applyNumberFormat="1" applyFont="1" applyAlignment="1">
      <alignment horizontal="center" vertical="center"/>
    </xf>
    <xf numFmtId="9" fontId="2" fillId="5" borderId="28" xfId="1" applyNumberFormat="1" applyFont="1" applyFill="1" applyBorder="1" applyAlignment="1">
      <alignment horizontal="center" vertical="center"/>
    </xf>
    <xf numFmtId="165" fontId="2" fillId="4" borderId="0" xfId="4" applyNumberFormat="1" applyFont="1" applyFill="1" applyAlignment="1">
      <alignment horizontal="center" vertical="center"/>
    </xf>
    <xf numFmtId="165" fontId="2" fillId="5" borderId="28" xfId="4" applyNumberFormat="1" applyFont="1" applyFill="1" applyBorder="1" applyAlignment="1">
      <alignment horizontal="center" vertical="center"/>
    </xf>
    <xf numFmtId="165" fontId="2" fillId="5" borderId="26" xfId="4" applyNumberFormat="1" applyFont="1" applyFill="1" applyBorder="1" applyAlignment="1">
      <alignment horizontal="center" vertical="center"/>
    </xf>
    <xf numFmtId="165" fontId="33" fillId="10" borderId="27" xfId="4" applyNumberFormat="1" applyFont="1" applyFill="1" applyBorder="1" applyAlignment="1">
      <alignment horizontal="center" vertical="center"/>
    </xf>
    <xf numFmtId="171" fontId="15" fillId="5" borderId="26" xfId="1" quotePrefix="1" applyNumberFormat="1" applyFont="1" applyFill="1" applyBorder="1" applyAlignment="1">
      <alignment horizontal="center" vertical="center"/>
    </xf>
    <xf numFmtId="166" fontId="0" fillId="0" borderId="0" xfId="0" applyNumberFormat="1" applyAlignment="1">
      <alignment horizontal="center" vertical="center"/>
    </xf>
    <xf numFmtId="166" fontId="2" fillId="5" borderId="26" xfId="0" applyNumberFormat="1" applyFont="1" applyFill="1" applyBorder="1" applyAlignment="1">
      <alignment horizontal="center" vertical="center"/>
    </xf>
    <xf numFmtId="166" fontId="33" fillId="10" borderId="27" xfId="0" applyNumberFormat="1" applyFont="1" applyFill="1" applyBorder="1" applyAlignment="1">
      <alignment horizontal="center" vertical="center"/>
    </xf>
    <xf numFmtId="2" fontId="2" fillId="5" borderId="26" xfId="0" applyNumberFormat="1" applyFont="1" applyFill="1" applyBorder="1" applyAlignment="1">
      <alignment horizontal="center" vertical="center"/>
    </xf>
    <xf numFmtId="167" fontId="2" fillId="5" borderId="26" xfId="1" applyNumberFormat="1" applyFont="1" applyFill="1" applyBorder="1" applyAlignment="1">
      <alignment horizontal="center" vertical="center"/>
    </xf>
    <xf numFmtId="165" fontId="2" fillId="0" borderId="0" xfId="4" applyNumberFormat="1" applyFont="1" applyAlignment="1">
      <alignment horizontal="center" vertical="center"/>
    </xf>
    <xf numFmtId="9" fontId="0" fillId="0" borderId="0" xfId="1" applyFont="1" applyAlignment="1">
      <alignment horizontal="center" vertical="center"/>
    </xf>
    <xf numFmtId="2" fontId="0" fillId="0" borderId="0" xfId="0" applyNumberFormat="1" applyAlignment="1">
      <alignment horizontal="center" vertical="center"/>
    </xf>
    <xf numFmtId="2" fontId="33" fillId="10" borderId="27" xfId="0" applyNumberFormat="1" applyFont="1" applyFill="1" applyBorder="1" applyAlignment="1">
      <alignment horizontal="center" vertical="center"/>
    </xf>
    <xf numFmtId="167" fontId="33" fillId="10" borderId="30" xfId="1" applyNumberFormat="1" applyFont="1" applyFill="1" applyBorder="1" applyAlignment="1">
      <alignment horizontal="center" vertical="center"/>
    </xf>
    <xf numFmtId="0" fontId="0" fillId="0" borderId="0" xfId="0" applyAlignment="1">
      <alignment horizontal="center" vertical="center"/>
    </xf>
    <xf numFmtId="9" fontId="27" fillId="2" borderId="13" xfId="1" applyFont="1" applyFill="1" applyBorder="1" applyAlignment="1">
      <alignment horizontal="right" wrapText="1"/>
    </xf>
    <xf numFmtId="173" fontId="28" fillId="0" borderId="13" xfId="7" applyNumberFormat="1" applyFont="1" applyFill="1" applyBorder="1" applyAlignment="1">
      <alignment horizontal="right" wrapText="1"/>
    </xf>
    <xf numFmtId="174" fontId="28" fillId="0" borderId="13" xfId="7" applyNumberFormat="1" applyFont="1" applyFill="1" applyBorder="1" applyAlignment="1">
      <alignment horizontal="right" wrapText="1"/>
    </xf>
    <xf numFmtId="0" fontId="34" fillId="10" borderId="0" xfId="0" applyFont="1" applyFill="1" applyAlignment="1">
      <alignment horizontal="center" vertical="center" wrapText="1"/>
    </xf>
    <xf numFmtId="165" fontId="0" fillId="0" borderId="0" xfId="4" applyNumberFormat="1" applyFont="1" applyAlignment="1">
      <alignment horizontal="center" vertical="center"/>
    </xf>
    <xf numFmtId="9" fontId="0" fillId="4" borderId="0" xfId="1" applyFont="1" applyFill="1" applyAlignment="1">
      <alignment horizontal="center" vertical="center"/>
    </xf>
    <xf numFmtId="167" fontId="0" fillId="0" borderId="0" xfId="0" applyNumberFormat="1" applyAlignment="1">
      <alignment horizontal="center" vertical="center"/>
    </xf>
    <xf numFmtId="9" fontId="33" fillId="10" borderId="27" xfId="1" applyFont="1" applyFill="1" applyBorder="1" applyAlignment="1">
      <alignment horizontal="center" vertical="center"/>
    </xf>
    <xf numFmtId="165" fontId="0" fillId="0" borderId="0" xfId="0" applyNumberFormat="1" applyAlignment="1">
      <alignment horizontal="center" vertical="center"/>
    </xf>
    <xf numFmtId="171" fontId="0" fillId="0" borderId="0" xfId="1" quotePrefix="1" applyNumberFormat="1" applyFont="1" applyAlignment="1">
      <alignment horizontal="center" vertical="center"/>
    </xf>
    <xf numFmtId="0" fontId="0" fillId="0" borderId="0" xfId="0" applyAlignment="1">
      <alignment horizontal="center" vertical="center"/>
    </xf>
    <xf numFmtId="14" fontId="3" fillId="0" borderId="0" xfId="0" applyNumberFormat="1" applyFont="1" applyAlignment="1">
      <alignment horizontal="left" vertical="center"/>
    </xf>
    <xf numFmtId="174" fontId="28" fillId="0" borderId="13" xfId="1" applyNumberFormat="1" applyFont="1" applyFill="1" applyBorder="1" applyAlignment="1">
      <alignment horizontal="right" wrapText="1"/>
    </xf>
    <xf numFmtId="0" fontId="26" fillId="14" borderId="37" xfId="8" applyFont="1" applyFill="1" applyBorder="1" applyAlignment="1">
      <alignment horizontal="left" wrapText="1"/>
    </xf>
    <xf numFmtId="174" fontId="43" fillId="14" borderId="13" xfId="1" applyNumberFormat="1" applyFont="1" applyFill="1" applyBorder="1" applyAlignment="1">
      <alignment horizontal="right" wrapText="1"/>
    </xf>
    <xf numFmtId="173" fontId="43" fillId="14" borderId="13" xfId="7" applyNumberFormat="1" applyFont="1" applyFill="1" applyBorder="1" applyAlignment="1">
      <alignment horizontal="right" wrapText="1"/>
    </xf>
    <xf numFmtId="3" fontId="26" fillId="14" borderId="0" xfId="8" applyNumberFormat="1" applyFont="1" applyFill="1" applyBorder="1" applyAlignment="1">
      <alignment horizontal="right" wrapText="1"/>
    </xf>
    <xf numFmtId="9" fontId="25" fillId="0" borderId="0" xfId="1" applyFont="1" applyFill="1" applyBorder="1" applyAlignment="1">
      <alignment horizontal="right" wrapText="1"/>
    </xf>
    <xf numFmtId="0" fontId="26" fillId="14" borderId="0" xfId="8" applyFont="1" applyFill="1" applyBorder="1" applyAlignment="1">
      <alignment horizontal="left" wrapText="1"/>
    </xf>
    <xf numFmtId="0" fontId="26" fillId="14" borderId="0" xfId="9" applyFont="1" applyFill="1" applyBorder="1" applyAlignment="1">
      <alignment horizontal="right" wrapText="1"/>
    </xf>
    <xf numFmtId="165" fontId="26" fillId="14" borderId="0" xfId="4" applyNumberFormat="1" applyFont="1" applyFill="1" applyBorder="1" applyAlignment="1">
      <alignment horizontal="right" wrapText="1"/>
    </xf>
    <xf numFmtId="174" fontId="43" fillId="14" borderId="13" xfId="7" applyNumberFormat="1" applyFont="1" applyFill="1" applyBorder="1" applyAlignment="1">
      <alignment horizontal="right" wrapText="1"/>
    </xf>
    <xf numFmtId="9" fontId="46" fillId="0" borderId="13" xfId="1" applyFont="1" applyFill="1" applyBorder="1" applyAlignment="1">
      <alignment horizontal="right" wrapText="1"/>
    </xf>
    <xf numFmtId="0" fontId="24" fillId="7" borderId="65" xfId="10" applyFont="1" applyFill="1" applyBorder="1" applyAlignment="1">
      <alignment horizontal="center"/>
    </xf>
    <xf numFmtId="0" fontId="24" fillId="0" borderId="66" xfId="10" applyFont="1" applyFill="1" applyBorder="1" applyAlignment="1">
      <alignment wrapText="1"/>
    </xf>
    <xf numFmtId="0" fontId="24" fillId="0" borderId="66" xfId="10" applyFont="1" applyFill="1" applyBorder="1" applyAlignment="1">
      <alignment horizontal="right" wrapText="1"/>
    </xf>
    <xf numFmtId="165" fontId="24" fillId="0" borderId="0" xfId="4" applyNumberFormat="1" applyFont="1" applyFill="1" applyBorder="1" applyAlignment="1">
      <alignment horizontal="right" wrapText="1"/>
    </xf>
    <xf numFmtId="0" fontId="16" fillId="0" borderId="30" xfId="0" applyFont="1" applyBorder="1" applyAlignment="1">
      <alignment horizontal="center" vertical="top" wrapText="1"/>
    </xf>
    <xf numFmtId="0" fontId="20" fillId="0" borderId="0" xfId="0" applyFont="1" applyBorder="1" applyAlignment="1">
      <alignment horizontal="center" vertical="top" wrapText="1"/>
    </xf>
    <xf numFmtId="0" fontId="0" fillId="0" borderId="25" xfId="0" applyBorder="1" applyAlignment="1">
      <alignment horizontal="center" vertical="top" wrapText="1"/>
    </xf>
    <xf numFmtId="0" fontId="2" fillId="2" borderId="5" xfId="0" applyFont="1" applyFill="1" applyBorder="1" applyAlignment="1">
      <alignment horizontal="center"/>
    </xf>
    <xf numFmtId="0" fontId="2" fillId="2" borderId="6" xfId="0" applyFont="1" applyFill="1" applyBorder="1" applyAlignment="1">
      <alignment horizontal="center"/>
    </xf>
    <xf numFmtId="0" fontId="2" fillId="2" borderId="44" xfId="0" applyFont="1" applyFill="1" applyBorder="1" applyAlignment="1">
      <alignment horizontal="center"/>
    </xf>
    <xf numFmtId="0" fontId="43" fillId="12" borderId="38" xfId="6" applyFont="1" applyFill="1" applyBorder="1" applyAlignment="1">
      <alignment horizontal="center" vertical="center" wrapText="1"/>
    </xf>
    <xf numFmtId="0" fontId="0" fillId="0" borderId="39" xfId="0" applyBorder="1" applyAlignment="1">
      <alignment horizontal="center" vertical="center" wrapText="1"/>
    </xf>
    <xf numFmtId="0" fontId="43" fillId="12" borderId="35" xfId="6" applyFont="1" applyFill="1" applyBorder="1" applyAlignment="1">
      <alignment horizontal="center" vertical="center" wrapText="1"/>
    </xf>
    <xf numFmtId="0" fontId="0" fillId="0" borderId="36" xfId="0" applyBorder="1" applyAlignment="1">
      <alignment horizontal="center" vertical="center" wrapText="1"/>
    </xf>
    <xf numFmtId="0" fontId="43" fillId="12" borderId="64" xfId="6" applyFont="1" applyFill="1" applyBorder="1" applyAlignment="1">
      <alignment horizontal="center" vertical="center" wrapText="1"/>
    </xf>
    <xf numFmtId="0" fontId="0" fillId="0" borderId="64" xfId="0" applyBorder="1" applyAlignment="1">
      <alignment horizontal="center" vertical="center" wrapText="1"/>
    </xf>
    <xf numFmtId="0" fontId="26" fillId="5" borderId="35" xfId="6" applyFont="1" applyFill="1" applyBorder="1" applyAlignment="1">
      <alignment horizontal="center" wrapText="1"/>
    </xf>
    <xf numFmtId="0" fontId="0" fillId="0" borderId="36" xfId="0" applyBorder="1" applyAlignment="1">
      <alignment horizontal="center"/>
    </xf>
    <xf numFmtId="0" fontId="12" fillId="3" borderId="35" xfId="6" applyFont="1" applyFill="1" applyBorder="1" applyAlignment="1">
      <alignment horizontal="left" wrapText="1" indent="2"/>
    </xf>
    <xf numFmtId="0" fontId="0" fillId="0" borderId="36" xfId="0" applyBorder="1" applyAlignment="1">
      <alignment horizontal="left" wrapText="1" indent="2"/>
    </xf>
    <xf numFmtId="9" fontId="52" fillId="10" borderId="41" xfId="0" quotePrefix="1" applyNumberFormat="1" applyFont="1" applyFill="1" applyBorder="1" applyAlignment="1">
      <alignment horizontal="center" vertical="center" wrapText="1"/>
    </xf>
    <xf numFmtId="9" fontId="52" fillId="10" borderId="42" xfId="0" quotePrefix="1" applyNumberFormat="1" applyFont="1" applyFill="1" applyBorder="1" applyAlignment="1">
      <alignment horizontal="center" vertical="center" wrapText="1"/>
    </xf>
    <xf numFmtId="9" fontId="52" fillId="10" borderId="43" xfId="0" quotePrefix="1" applyNumberFormat="1" applyFont="1" applyFill="1" applyBorder="1" applyAlignment="1">
      <alignment horizontal="center" vertical="center" wrapText="1"/>
    </xf>
    <xf numFmtId="9" fontId="53" fillId="10" borderId="41" xfId="0" quotePrefix="1" applyNumberFormat="1" applyFont="1" applyFill="1" applyBorder="1" applyAlignment="1">
      <alignment horizontal="center" vertical="center" wrapText="1"/>
    </xf>
    <xf numFmtId="9" fontId="53" fillId="10" borderId="42" xfId="0" quotePrefix="1" applyNumberFormat="1" applyFont="1" applyFill="1" applyBorder="1" applyAlignment="1">
      <alignment horizontal="center" vertical="center" wrapText="1"/>
    </xf>
    <xf numFmtId="9" fontId="53" fillId="10" borderId="43" xfId="0" quotePrefix="1" applyNumberFormat="1" applyFont="1" applyFill="1" applyBorder="1" applyAlignment="1">
      <alignment horizontal="center" vertical="center" wrapText="1"/>
    </xf>
    <xf numFmtId="9" fontId="50" fillId="10" borderId="41" xfId="0" quotePrefix="1" applyNumberFormat="1" applyFont="1" applyFill="1" applyBorder="1" applyAlignment="1">
      <alignment horizontal="center" vertical="center" wrapText="1"/>
    </xf>
    <xf numFmtId="9" fontId="50" fillId="10" borderId="42" xfId="0" quotePrefix="1" applyNumberFormat="1" applyFont="1" applyFill="1" applyBorder="1" applyAlignment="1">
      <alignment horizontal="center" vertical="center" wrapText="1"/>
    </xf>
    <xf numFmtId="9" fontId="50" fillId="10" borderId="43" xfId="0" quotePrefix="1" applyNumberFormat="1" applyFont="1" applyFill="1" applyBorder="1" applyAlignment="1">
      <alignment horizontal="center" vertical="center" wrapText="1"/>
    </xf>
    <xf numFmtId="0" fontId="47" fillId="13" borderId="40" xfId="0" applyNumberFormat="1" applyFont="1" applyFill="1" applyBorder="1" applyAlignment="1">
      <alignment horizontal="center" vertical="center" textRotation="90"/>
    </xf>
    <xf numFmtId="0" fontId="0" fillId="0" borderId="40" xfId="0" applyBorder="1" applyAlignment="1"/>
    <xf numFmtId="0" fontId="0" fillId="0" borderId="40" xfId="0" applyBorder="1" applyAlignment="1">
      <alignment horizontal="center" vertical="center"/>
    </xf>
    <xf numFmtId="0" fontId="47" fillId="13" borderId="0" xfId="0" applyNumberFormat="1" applyFont="1" applyFill="1" applyBorder="1" applyAlignment="1">
      <alignment horizontal="center" vertical="center" textRotation="90"/>
    </xf>
    <xf numFmtId="0" fontId="0" fillId="0" borderId="0" xfId="0" applyBorder="1" applyAlignment="1">
      <alignment horizontal="center" vertical="center"/>
    </xf>
    <xf numFmtId="0" fontId="0" fillId="0" borderId="0" xfId="0" applyAlignment="1">
      <alignment horizontal="center" vertical="center"/>
    </xf>
    <xf numFmtId="0" fontId="0" fillId="0" borderId="0" xfId="0" applyAlignment="1">
      <alignment horizontal="center" vertical="center" textRotation="90"/>
    </xf>
    <xf numFmtId="0" fontId="0" fillId="0" borderId="0" xfId="0" applyAlignment="1">
      <alignment horizontal="left" vertical="top" wrapText="1"/>
    </xf>
  </cellXfs>
  <cellStyles count="11">
    <cellStyle name="Milliers" xfId="4" builtinId="3"/>
    <cellStyle name="Normal" xfId="0" builtinId="0"/>
    <cellStyle name="Normal 2" xfId="2" xr:uid="{00000000-0005-0000-0000-000002000000}"/>
    <cellStyle name="Normal_Ann-1 - Asso dissoutes x Objet" xfId="10" xr:uid="{2BEA4971-B5B2-4691-8F7C-D011929EA764}"/>
    <cellStyle name="Normal_Ann-3 - Créations 2019-2020" xfId="8" xr:uid="{00000000-0005-0000-0000-000003000000}"/>
    <cellStyle name="Normal_Ann-4 - Créations x objet" xfId="9" xr:uid="{00000000-0005-0000-0000-000004000000}"/>
    <cellStyle name="Normal_Assos Dissous x objet" xfId="5" xr:uid="{00000000-0005-0000-0000-000005000000}"/>
    <cellStyle name="Normal_Feuil1" xfId="7" xr:uid="{00000000-0005-0000-0000-000006000000}"/>
    <cellStyle name="Normal_Feuil2" xfId="6" xr:uid="{00000000-0005-0000-0000-000007000000}"/>
    <cellStyle name="Pourcentage" xfId="1" builtinId="5"/>
    <cellStyle name="Pourcentage 2" xfId="3" xr:uid="{00000000-0005-0000-0000-000009000000}"/>
  </cellStyles>
  <dxfs count="8">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s>
  <tableStyles count="0" defaultTableStyle="TableStyleMedium2" defaultPivotStyle="PivotStyleLight16"/>
  <colors>
    <mruColors>
      <color rgb="FFC0C0C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1</xdr:col>
      <xdr:colOff>9054</xdr:colOff>
      <xdr:row>3</xdr:row>
      <xdr:rowOff>29242</xdr:rowOff>
    </xdr:from>
    <xdr:ext cx="8700380" cy="2096215"/>
    <xdr:sp macro="" textlink="">
      <xdr:nvSpPr>
        <xdr:cNvPr id="2" name="ZoneTexte 1">
          <a:extLst>
            <a:ext uri="{FF2B5EF4-FFF2-40B4-BE49-F238E27FC236}">
              <a16:creationId xmlns:a16="http://schemas.microsoft.com/office/drawing/2014/main" id="{00000000-0008-0000-0000-000002000000}"/>
            </a:ext>
          </a:extLst>
        </xdr:cNvPr>
        <xdr:cNvSpPr txBox="1"/>
      </xdr:nvSpPr>
      <xdr:spPr>
        <a:xfrm>
          <a:off x="733331" y="572450"/>
          <a:ext cx="8700380" cy="209621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spAutoFit/>
        </a:bodyPr>
        <a:lstStyle/>
        <a:p>
          <a:pPr algn="ctr"/>
          <a:r>
            <a:rPr lang="fr-FR" sz="3200" b="1">
              <a:solidFill>
                <a:srgbClr val="0070C0"/>
              </a:solidFill>
            </a:rPr>
            <a:t>TABLEAU DE BORD</a:t>
          </a:r>
          <a:r>
            <a:rPr lang="fr-FR" sz="3200" b="1" baseline="0">
              <a:solidFill>
                <a:srgbClr val="0070C0"/>
              </a:solidFill>
            </a:rPr>
            <a:t> - </a:t>
          </a:r>
          <a:r>
            <a:rPr lang="fr-FR" sz="3200" b="1">
              <a:solidFill>
                <a:srgbClr val="0070C0"/>
              </a:solidFill>
            </a:rPr>
            <a:t>Chiffres-clés </a:t>
          </a:r>
          <a:r>
            <a:rPr lang="fr-FR" sz="3200" b="1" baseline="0">
              <a:solidFill>
                <a:srgbClr val="0070C0"/>
              </a:solidFill>
            </a:rPr>
            <a:t> </a:t>
          </a:r>
        </a:p>
        <a:p>
          <a:pPr algn="ctr"/>
          <a:r>
            <a:rPr lang="fr-FR" sz="3200" b="1" baseline="0">
              <a:solidFill>
                <a:srgbClr val="0070C0"/>
              </a:solidFill>
            </a:rPr>
            <a:t>Vie associative en Pays de la Loire</a:t>
          </a:r>
        </a:p>
        <a:p>
          <a:pPr algn="ctr"/>
          <a:endParaRPr lang="fr-FR" sz="3200" b="1" baseline="0">
            <a:solidFill>
              <a:srgbClr val="0070C0"/>
            </a:solidFill>
          </a:endParaRPr>
        </a:p>
        <a:p>
          <a:pPr algn="ctr"/>
          <a:r>
            <a:rPr lang="fr-FR" sz="3200" b="0" i="1" baseline="0">
              <a:solidFill>
                <a:schemeClr val="accent2"/>
              </a:solidFill>
            </a:rPr>
            <a:t>version "décembre 2025"</a:t>
          </a:r>
        </a:p>
      </xdr:txBody>
    </xdr:sp>
    <xdr:clientData/>
  </xdr:oneCellAnchor>
  <xdr:twoCellAnchor editAs="oneCell">
    <xdr:from>
      <xdr:col>1</xdr:col>
      <xdr:colOff>18110</xdr:colOff>
      <xdr:row>26</xdr:row>
      <xdr:rowOff>45265</xdr:rowOff>
    </xdr:from>
    <xdr:to>
      <xdr:col>2</xdr:col>
      <xdr:colOff>497940</xdr:colOff>
      <xdr:row>27</xdr:row>
      <xdr:rowOff>135801</xdr:rowOff>
    </xdr:to>
    <xdr:pic>
      <xdr:nvPicPr>
        <xdr:cNvPr id="4" name="Image 3">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42387" y="4753067"/>
          <a:ext cx="1204107" cy="271605"/>
        </a:xfrm>
        <a:prstGeom prst="rect">
          <a:avLst/>
        </a:prstGeom>
      </xdr:spPr>
    </xdr:pic>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1:B29"/>
  <sheetViews>
    <sheetView showGridLines="0" tabSelected="1" zoomScale="85" zoomScaleNormal="85" workbookViewId="0">
      <selection activeCell="P20" sqref="P20"/>
    </sheetView>
  </sheetViews>
  <sheetFormatPr baseColWidth="10" defaultRowHeight="15" x14ac:dyDescent="0.25"/>
  <sheetData>
    <row r="21" spans="2:2" x14ac:dyDescent="0.25">
      <c r="B21" s="45" t="s">
        <v>84</v>
      </c>
    </row>
    <row r="22" spans="2:2" x14ac:dyDescent="0.25">
      <c r="B22" t="s">
        <v>202</v>
      </c>
    </row>
    <row r="23" spans="2:2" x14ac:dyDescent="0.25">
      <c r="B23" s="156" t="s">
        <v>203</v>
      </c>
    </row>
    <row r="25" spans="2:2" x14ac:dyDescent="0.25">
      <c r="B25" s="45" t="s">
        <v>95</v>
      </c>
    </row>
    <row r="26" spans="2:2" x14ac:dyDescent="0.25">
      <c r="B26" s="172" t="s">
        <v>194</v>
      </c>
    </row>
    <row r="27" spans="2:2" x14ac:dyDescent="0.25">
      <c r="B27" s="172"/>
    </row>
    <row r="29" spans="2:2" x14ac:dyDescent="0.25">
      <c r="B29" t="s">
        <v>184</v>
      </c>
    </row>
  </sheetData>
  <pageMargins left="0.70866141732283472" right="0.70866141732283472" top="0.74803149606299213" bottom="0.74803149606299213" header="0.31496062992125984" footer="0.31496062992125984"/>
  <pageSetup paperSize="9" scale="85"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P58"/>
  <sheetViews>
    <sheetView showGridLines="0" zoomScaleNormal="100" workbookViewId="0">
      <pane ySplit="2" topLeftCell="A3" activePane="bottomLeft" state="frozen"/>
      <selection pane="bottomLeft" activeCell="G21" sqref="G21"/>
    </sheetView>
  </sheetViews>
  <sheetFormatPr baseColWidth="10" defaultRowHeight="15" x14ac:dyDescent="0.25"/>
  <cols>
    <col min="1" max="1" width="3.28515625" customWidth="1"/>
    <col min="2" max="2" width="51.140625" customWidth="1"/>
    <col min="3" max="3" width="13.140625" customWidth="1"/>
    <col min="4" max="4" width="11.85546875" customWidth="1"/>
    <col min="5" max="5" width="10.140625" customWidth="1"/>
    <col min="6" max="7" width="11.140625" customWidth="1"/>
    <col min="8" max="9" width="10.28515625" customWidth="1"/>
    <col min="10" max="11" width="10.140625" customWidth="1"/>
    <col min="12" max="13" width="10.28515625" customWidth="1"/>
    <col min="14" max="14" width="27.42578125" style="1" bestFit="1" customWidth="1"/>
    <col min="15" max="15" width="11.85546875" style="6" customWidth="1"/>
    <col min="16" max="16" width="25.140625" style="11" customWidth="1"/>
  </cols>
  <sheetData>
    <row r="2" spans="2:16" ht="60" x14ac:dyDescent="0.25">
      <c r="B2" s="9" t="s">
        <v>2</v>
      </c>
      <c r="C2" s="5">
        <v>44</v>
      </c>
      <c r="D2" s="5">
        <v>49</v>
      </c>
      <c r="E2" s="5">
        <v>53</v>
      </c>
      <c r="F2" s="5">
        <v>72</v>
      </c>
      <c r="G2" s="5">
        <v>85</v>
      </c>
      <c r="H2" s="30" t="s">
        <v>12</v>
      </c>
      <c r="I2" s="97" t="s">
        <v>204</v>
      </c>
      <c r="J2" s="97" t="s">
        <v>195</v>
      </c>
      <c r="K2" s="97" t="s">
        <v>187</v>
      </c>
      <c r="L2" s="97" t="s">
        <v>151</v>
      </c>
      <c r="M2" s="97" t="s">
        <v>120</v>
      </c>
      <c r="N2" s="10" t="s">
        <v>0</v>
      </c>
      <c r="O2" s="10" t="s">
        <v>24</v>
      </c>
      <c r="P2" s="10" t="s">
        <v>1</v>
      </c>
    </row>
    <row r="3" spans="2:16" ht="30" x14ac:dyDescent="0.25">
      <c r="B3" s="56" t="s">
        <v>80</v>
      </c>
      <c r="C3" s="70">
        <v>34543</v>
      </c>
      <c r="D3" s="70">
        <v>29066</v>
      </c>
      <c r="E3" s="70">
        <v>8328</v>
      </c>
      <c r="F3" s="70">
        <v>18500</v>
      </c>
      <c r="G3" s="70">
        <v>17881</v>
      </c>
      <c r="H3" s="71">
        <f>SUM(C3:G3)</f>
        <v>108318</v>
      </c>
      <c r="I3" s="98">
        <v>103535</v>
      </c>
      <c r="J3" s="98">
        <v>100019</v>
      </c>
      <c r="K3" s="98">
        <v>96583</v>
      </c>
      <c r="L3" s="98">
        <v>95653</v>
      </c>
      <c r="M3" s="98">
        <v>88994</v>
      </c>
      <c r="N3" s="55" t="s">
        <v>148</v>
      </c>
      <c r="O3" s="7">
        <v>45689</v>
      </c>
      <c r="P3" s="28" t="s">
        <v>25</v>
      </c>
    </row>
    <row r="4" spans="2:16" ht="30" x14ac:dyDescent="0.25">
      <c r="B4" s="57" t="s">
        <v>60</v>
      </c>
      <c r="C4" s="58">
        <f>C3/$H$3</f>
        <v>0.3189035986631954</v>
      </c>
      <c r="D4" s="58">
        <f>D3/$H$3</f>
        <v>0.26833951882420282</v>
      </c>
      <c r="E4" s="58">
        <f>E3/$H$3</f>
        <v>7.6884728300005534E-2</v>
      </c>
      <c r="F4" s="58">
        <f>F3/$H$3</f>
        <v>0.17079340460495948</v>
      </c>
      <c r="G4" s="58">
        <f>G3/$H$3</f>
        <v>0.16507874960763677</v>
      </c>
      <c r="H4" s="72">
        <f>SUM(C4:G4)</f>
        <v>1</v>
      </c>
      <c r="I4" s="161">
        <v>0.99999999999999989</v>
      </c>
      <c r="J4" s="161">
        <v>0.99999999999999978</v>
      </c>
      <c r="K4" s="161">
        <v>1</v>
      </c>
      <c r="L4" s="161">
        <v>1</v>
      </c>
      <c r="M4" s="161">
        <v>1</v>
      </c>
      <c r="N4" s="55" t="s">
        <v>148</v>
      </c>
      <c r="O4" s="7">
        <v>45689</v>
      </c>
      <c r="P4" s="28"/>
    </row>
    <row r="5" spans="2:16" ht="30" x14ac:dyDescent="0.25">
      <c r="B5" s="57" t="s">
        <v>29</v>
      </c>
      <c r="C5" s="73">
        <v>3.9066726291437384E-2</v>
      </c>
      <c r="D5" s="73">
        <v>1.8194960596529187E-2</v>
      </c>
      <c r="E5" s="73">
        <v>2.2938823252048098E-2</v>
      </c>
      <c r="F5" s="73">
        <v>1.9745943743290615E-2</v>
      </c>
      <c r="G5" s="73">
        <v>2.76885745449717E-2</v>
      </c>
      <c r="H5" s="74">
        <v>2.6744959195850525E-2</v>
      </c>
      <c r="I5" s="99">
        <v>2.701247430242066E-2</v>
      </c>
      <c r="J5" s="99">
        <v>2.7258246438350276E-2</v>
      </c>
      <c r="K5" s="99">
        <v>2.9819744976336889E-2</v>
      </c>
      <c r="L5" s="99">
        <v>3.2000000000000001E-2</v>
      </c>
      <c r="M5" s="99">
        <v>3.5283987461489461E-2</v>
      </c>
      <c r="N5" s="87" t="s">
        <v>148</v>
      </c>
      <c r="O5" s="88" t="s">
        <v>206</v>
      </c>
      <c r="P5" s="89"/>
    </row>
    <row r="6" spans="2:16" ht="45" x14ac:dyDescent="0.25">
      <c r="B6" s="57" t="s">
        <v>61</v>
      </c>
      <c r="C6" s="75">
        <v>23.448297396881255</v>
      </c>
      <c r="D6" s="75">
        <v>35.097464109806062</v>
      </c>
      <c r="E6" s="75">
        <v>27.265851877801314</v>
      </c>
      <c r="F6" s="75">
        <v>32.678064540060653</v>
      </c>
      <c r="G6" s="75">
        <v>25.31489658706889</v>
      </c>
      <c r="H6" s="76">
        <v>27.922652412239998</v>
      </c>
      <c r="I6" s="100">
        <v>27.199805803868738</v>
      </c>
      <c r="J6" s="100">
        <v>26.276113166534479</v>
      </c>
      <c r="K6" s="100">
        <v>25.541442996459271</v>
      </c>
      <c r="L6" s="100">
        <v>25.5</v>
      </c>
      <c r="M6" s="100">
        <v>23.932691356112336</v>
      </c>
      <c r="N6" s="90" t="s">
        <v>205</v>
      </c>
      <c r="O6" s="91">
        <v>45689</v>
      </c>
      <c r="P6" s="92"/>
    </row>
    <row r="7" spans="2:16" ht="44.25" customHeight="1" x14ac:dyDescent="0.25">
      <c r="B7" s="77" t="s">
        <v>32</v>
      </c>
      <c r="C7" s="78">
        <v>6434</v>
      </c>
      <c r="D7" s="78">
        <v>3980</v>
      </c>
      <c r="E7" s="78">
        <v>1670</v>
      </c>
      <c r="F7" s="78">
        <v>2489</v>
      </c>
      <c r="G7" s="78">
        <v>2975</v>
      </c>
      <c r="H7" s="79">
        <v>17548</v>
      </c>
      <c r="I7" s="101">
        <v>15262</v>
      </c>
      <c r="J7" s="101">
        <v>13956</v>
      </c>
      <c r="K7" s="101">
        <v>12697</v>
      </c>
      <c r="L7" s="101">
        <v>12327</v>
      </c>
      <c r="M7" s="101">
        <v>10695</v>
      </c>
      <c r="N7" s="96" t="s">
        <v>148</v>
      </c>
      <c r="O7" s="93">
        <v>45689</v>
      </c>
      <c r="P7" s="92"/>
    </row>
    <row r="8" spans="2:16" ht="44.25" customHeight="1" x14ac:dyDescent="0.25">
      <c r="B8" s="77" t="s">
        <v>39</v>
      </c>
      <c r="C8" s="191">
        <v>0.35607709045694746</v>
      </c>
      <c r="D8" s="191">
        <v>0.25351758793969847</v>
      </c>
      <c r="E8" s="191">
        <v>0.4</v>
      </c>
      <c r="F8" s="191">
        <v>0.25271193250301327</v>
      </c>
      <c r="G8" s="191">
        <v>0.26487394957983196</v>
      </c>
      <c r="H8" s="80">
        <v>0.30687257807157509</v>
      </c>
      <c r="I8" s="102">
        <v>0.30893722972087539</v>
      </c>
      <c r="J8" s="102">
        <v>0.31427343078245917</v>
      </c>
      <c r="K8" s="102">
        <v>0.31865448243264533</v>
      </c>
      <c r="L8" s="102">
        <v>0.31900000000000001</v>
      </c>
      <c r="M8" s="102">
        <v>0.31781206171107995</v>
      </c>
      <c r="N8" s="96" t="s">
        <v>148</v>
      </c>
      <c r="O8" s="93">
        <v>45689</v>
      </c>
      <c r="P8" s="92"/>
    </row>
    <row r="9" spans="2:16" ht="44.25" customHeight="1" x14ac:dyDescent="0.25">
      <c r="B9" s="77" t="s">
        <v>40</v>
      </c>
      <c r="C9" s="191">
        <v>0.21137705937208578</v>
      </c>
      <c r="D9" s="191">
        <v>0.20376884422110553</v>
      </c>
      <c r="E9" s="191">
        <v>0.11916167664670659</v>
      </c>
      <c r="F9" s="191">
        <v>0.18119726797910807</v>
      </c>
      <c r="G9" s="191">
        <v>0.20403361344537815</v>
      </c>
      <c r="H9" s="80">
        <v>0.19534989742420789</v>
      </c>
      <c r="I9" s="102">
        <v>0.19650111387760449</v>
      </c>
      <c r="J9" s="102">
        <v>0.19575809687589568</v>
      </c>
      <c r="K9" s="102">
        <v>0.19355601071372303</v>
      </c>
      <c r="L9" s="102">
        <v>0.193</v>
      </c>
      <c r="M9" s="102">
        <v>0.1938288920056101</v>
      </c>
      <c r="N9" s="96" t="s">
        <v>148</v>
      </c>
      <c r="O9" s="93">
        <v>45689</v>
      </c>
      <c r="P9" s="92"/>
    </row>
    <row r="10" spans="2:16" ht="44.25" customHeight="1" x14ac:dyDescent="0.25">
      <c r="B10" s="77" t="s">
        <v>41</v>
      </c>
      <c r="C10" s="191">
        <v>0.21572894000621698</v>
      </c>
      <c r="D10" s="191">
        <v>0.23693467336683416</v>
      </c>
      <c r="E10" s="191">
        <v>0.17005988023952096</v>
      </c>
      <c r="F10" s="191">
        <v>0.23664122137404581</v>
      </c>
      <c r="G10" s="191">
        <v>0.23092436974789915</v>
      </c>
      <c r="H10" s="80">
        <v>0.22173467061773422</v>
      </c>
      <c r="I10" s="102">
        <v>0.2238238762940637</v>
      </c>
      <c r="J10" s="102">
        <v>0.22277156778446547</v>
      </c>
      <c r="K10" s="102">
        <v>0.22262486213959351</v>
      </c>
      <c r="L10" s="102">
        <v>0.223</v>
      </c>
      <c r="M10" s="102">
        <v>0.22421692379616642</v>
      </c>
      <c r="N10" s="96" t="s">
        <v>148</v>
      </c>
      <c r="O10" s="93">
        <v>45689</v>
      </c>
      <c r="P10" s="92"/>
    </row>
    <row r="11" spans="2:16" ht="44.25" customHeight="1" x14ac:dyDescent="0.25">
      <c r="B11" s="77" t="s">
        <v>42</v>
      </c>
      <c r="C11" s="191">
        <v>0.10226919490208268</v>
      </c>
      <c r="D11" s="191">
        <v>0.1278894472361809</v>
      </c>
      <c r="E11" s="191">
        <v>0.10239520958083832</v>
      </c>
      <c r="F11" s="191">
        <v>0.11932503013258337</v>
      </c>
      <c r="G11" s="191">
        <v>0.11697478991596638</v>
      </c>
      <c r="H11" s="80">
        <v>0.11300433097788921</v>
      </c>
      <c r="I11" s="102">
        <v>0.11302581575153978</v>
      </c>
      <c r="J11" s="102">
        <v>0.11242476354256234</v>
      </c>
      <c r="K11" s="102">
        <v>0.1124153143217268</v>
      </c>
      <c r="L11" s="102">
        <v>0.112</v>
      </c>
      <c r="M11" s="102">
        <v>0.11192145862552595</v>
      </c>
      <c r="N11" s="96" t="s">
        <v>148</v>
      </c>
      <c r="O11" s="93">
        <v>45689</v>
      </c>
      <c r="P11" s="92"/>
    </row>
    <row r="12" spans="2:16" ht="44.25" customHeight="1" x14ac:dyDescent="0.25">
      <c r="B12" s="77" t="s">
        <v>43</v>
      </c>
      <c r="C12" s="191">
        <v>5.7973267018961765E-2</v>
      </c>
      <c r="D12" s="191">
        <v>7.160804020100503E-2</v>
      </c>
      <c r="E12" s="191">
        <v>7.0059880239520964E-2</v>
      </c>
      <c r="F12" s="191">
        <v>9.0799517878666136E-2</v>
      </c>
      <c r="G12" s="191">
        <v>7.5630252100840331E-2</v>
      </c>
      <c r="H12" s="80">
        <v>6.9865511739229544E-2</v>
      </c>
      <c r="I12" s="102">
        <v>6.8405189359192764E-2</v>
      </c>
      <c r="J12" s="102">
        <v>6.6924620235024365E-2</v>
      </c>
      <c r="K12" s="102">
        <v>6.601544036552702E-2</v>
      </c>
      <c r="L12" s="102">
        <v>6.5000000000000002E-2</v>
      </c>
      <c r="M12" s="102">
        <v>6.4422627395979426E-2</v>
      </c>
      <c r="N12" s="96" t="s">
        <v>148</v>
      </c>
      <c r="O12" s="93">
        <v>45689</v>
      </c>
      <c r="P12" s="92"/>
    </row>
    <row r="13" spans="2:16" ht="44.25" customHeight="1" x14ac:dyDescent="0.25">
      <c r="B13" s="77" t="s">
        <v>44</v>
      </c>
      <c r="C13" s="191">
        <v>5.6574448243705312E-2</v>
      </c>
      <c r="D13" s="191">
        <v>0.10628140703517588</v>
      </c>
      <c r="E13" s="191">
        <v>0.13832335329341316</v>
      </c>
      <c r="F13" s="191">
        <v>0.11932503013258337</v>
      </c>
      <c r="G13" s="191">
        <v>0.10756302521008404</v>
      </c>
      <c r="H13" s="80">
        <v>9.3173011169364037E-2</v>
      </c>
      <c r="I13" s="102">
        <v>8.9306774996723889E-2</v>
      </c>
      <c r="J13" s="102">
        <v>8.7847520779593014E-2</v>
      </c>
      <c r="K13" s="102">
        <v>8.6733890026784305E-2</v>
      </c>
      <c r="L13" s="102">
        <v>8.6999999999999994E-2</v>
      </c>
      <c r="M13" s="102">
        <v>8.7798036465638149E-2</v>
      </c>
      <c r="N13" s="96" t="s">
        <v>148</v>
      </c>
      <c r="O13" s="93">
        <v>45689</v>
      </c>
      <c r="P13" s="92"/>
    </row>
    <row r="14" spans="2:16" s="3" customFormat="1" ht="28.5" customHeight="1" x14ac:dyDescent="0.25">
      <c r="B14" s="57" t="s">
        <v>13</v>
      </c>
      <c r="C14" s="81">
        <v>1747</v>
      </c>
      <c r="D14" s="81">
        <v>826</v>
      </c>
      <c r="E14" s="81">
        <v>283</v>
      </c>
      <c r="F14" s="81">
        <v>563</v>
      </c>
      <c r="G14" s="81">
        <v>721</v>
      </c>
      <c r="H14" s="82">
        <v>4140</v>
      </c>
      <c r="I14" s="103">
        <v>3834</v>
      </c>
      <c r="J14" s="103">
        <v>3495</v>
      </c>
      <c r="K14" s="103">
        <v>3143</v>
      </c>
      <c r="L14" s="103">
        <v>3986</v>
      </c>
      <c r="M14" s="103">
        <v>3892</v>
      </c>
      <c r="N14" s="90" t="s">
        <v>148</v>
      </c>
      <c r="O14" s="66">
        <v>2024</v>
      </c>
      <c r="P14" s="67" t="s">
        <v>31</v>
      </c>
    </row>
    <row r="15" spans="2:16" s="3" customFormat="1" ht="28.5" customHeight="1" x14ac:dyDescent="0.25">
      <c r="B15" s="57" t="s">
        <v>23</v>
      </c>
      <c r="C15" s="83">
        <f>C14/C3</f>
        <v>5.0574646093275048E-2</v>
      </c>
      <c r="D15" s="83">
        <f>D14/D3</f>
        <v>2.8418082983554669E-2</v>
      </c>
      <c r="E15" s="83">
        <f t="shared" ref="E15:G15" si="0">E14/E3</f>
        <v>3.3981748318924108E-2</v>
      </c>
      <c r="F15" s="83">
        <f t="shared" si="0"/>
        <v>3.0432432432432432E-2</v>
      </c>
      <c r="G15" s="83">
        <f t="shared" si="0"/>
        <v>4.0322129634807899E-2</v>
      </c>
      <c r="H15" s="84">
        <f>H14/H3</f>
        <v>3.822079432781255E-2</v>
      </c>
      <c r="I15" s="104">
        <v>3.7030955715458544E-2</v>
      </c>
      <c r="J15" s="104">
        <v>3.4943360761455322E-2</v>
      </c>
      <c r="K15" s="104">
        <v>3.254195872979717E-2</v>
      </c>
      <c r="L15" s="104">
        <v>4.1671458291951118E-2</v>
      </c>
      <c r="M15" s="104">
        <v>4.3999999999999997E-2</v>
      </c>
      <c r="N15" s="90" t="s">
        <v>148</v>
      </c>
      <c r="O15" s="66">
        <v>2024</v>
      </c>
      <c r="P15" s="67" t="s">
        <v>31</v>
      </c>
    </row>
    <row r="16" spans="2:16" s="3" customFormat="1" ht="28.5" customHeight="1" x14ac:dyDescent="0.25">
      <c r="B16" s="57" t="s">
        <v>30</v>
      </c>
      <c r="C16" s="81">
        <v>7960</v>
      </c>
      <c r="D16" s="81">
        <v>3703</v>
      </c>
      <c r="E16" s="81">
        <v>1288</v>
      </c>
      <c r="F16" s="81">
        <v>2565</v>
      </c>
      <c r="G16" s="81">
        <v>3266</v>
      </c>
      <c r="H16" s="82">
        <v>18415</v>
      </c>
      <c r="I16" s="103">
        <v>18415</v>
      </c>
      <c r="J16" s="103">
        <v>18373</v>
      </c>
      <c r="K16" s="103">
        <v>18662</v>
      </c>
      <c r="L16" s="103">
        <v>21678</v>
      </c>
      <c r="M16" s="103">
        <v>19925</v>
      </c>
      <c r="N16" s="90" t="s">
        <v>148</v>
      </c>
      <c r="O16" s="66" t="s">
        <v>207</v>
      </c>
      <c r="P16" s="67" t="s">
        <v>31</v>
      </c>
    </row>
    <row r="17" spans="2:16" s="3" customFormat="1" ht="28.5" customHeight="1" x14ac:dyDescent="0.25">
      <c r="B17" s="57" t="s">
        <v>21</v>
      </c>
      <c r="C17" s="83">
        <f>C16/C3</f>
        <v>0.23043742581709753</v>
      </c>
      <c r="D17" s="83">
        <f t="shared" ref="D17:G17" si="1">D16/D3</f>
        <v>0.12739971100254593</v>
      </c>
      <c r="E17" s="83">
        <f t="shared" si="1"/>
        <v>0.15465898174831894</v>
      </c>
      <c r="F17" s="83">
        <f t="shared" si="1"/>
        <v>0.13864864864864865</v>
      </c>
      <c r="G17" s="83">
        <f t="shared" si="1"/>
        <v>0.18265197695878307</v>
      </c>
      <c r="H17" s="84">
        <f>H16/H3</f>
        <v>0.17000867815136911</v>
      </c>
      <c r="I17" s="104">
        <v>0.17786255855507799</v>
      </c>
      <c r="J17" s="104">
        <v>0.18369509793139305</v>
      </c>
      <c r="K17" s="104">
        <v>0.19322240974084468</v>
      </c>
      <c r="L17" s="104">
        <v>0.22663167909004422</v>
      </c>
      <c r="M17" s="104">
        <v>0.20830501918392522</v>
      </c>
      <c r="N17" s="90" t="s">
        <v>148</v>
      </c>
      <c r="O17" s="66" t="s">
        <v>207</v>
      </c>
      <c r="P17" s="67" t="s">
        <v>31</v>
      </c>
    </row>
    <row r="18" spans="2:16" s="3" customFormat="1" ht="28.5" customHeight="1" x14ac:dyDescent="0.25">
      <c r="B18" s="59" t="s">
        <v>9</v>
      </c>
      <c r="C18" s="85">
        <v>1592</v>
      </c>
      <c r="D18" s="85">
        <v>740.6</v>
      </c>
      <c r="E18" s="85">
        <v>257.60000000000002</v>
      </c>
      <c r="F18" s="85">
        <v>513</v>
      </c>
      <c r="G18" s="85">
        <v>653.20000000000005</v>
      </c>
      <c r="H18" s="86">
        <v>3756.4</v>
      </c>
      <c r="I18" s="105">
        <v>3683</v>
      </c>
      <c r="J18" s="105">
        <v>3674.6</v>
      </c>
      <c r="K18" s="105">
        <v>3732.4</v>
      </c>
      <c r="L18" s="105">
        <v>3881.4</v>
      </c>
      <c r="M18" s="105">
        <v>3904.3999999999996</v>
      </c>
      <c r="N18" s="94" t="s">
        <v>148</v>
      </c>
      <c r="O18" s="66" t="s">
        <v>207</v>
      </c>
      <c r="P18" s="95" t="s">
        <v>31</v>
      </c>
    </row>
    <row r="19" spans="2:16" s="3" customFormat="1" ht="6.4" customHeight="1" x14ac:dyDescent="0.25">
      <c r="B19" s="12"/>
      <c r="C19" s="13"/>
      <c r="D19" s="13"/>
      <c r="E19" s="13"/>
      <c r="F19" s="13"/>
      <c r="G19" s="13"/>
      <c r="H19" s="13"/>
      <c r="I19" s="13"/>
      <c r="J19" s="13"/>
      <c r="K19" s="13"/>
      <c r="L19" s="13"/>
      <c r="M19" s="13"/>
      <c r="N19" s="14"/>
      <c r="O19" s="215"/>
      <c r="P19" s="16"/>
    </row>
    <row r="20" spans="2:16" s="3" customFormat="1" ht="29.25" customHeight="1" x14ac:dyDescent="0.25">
      <c r="H20" s="27"/>
      <c r="I20" s="27"/>
      <c r="J20" s="27"/>
      <c r="K20" s="27"/>
      <c r="L20" s="27"/>
      <c r="M20" s="27"/>
      <c r="N20" s="1"/>
      <c r="O20" s="6"/>
      <c r="P20" s="11"/>
    </row>
    <row r="21" spans="2:16" x14ac:dyDescent="0.25">
      <c r="B21" s="2"/>
      <c r="C21" s="33"/>
      <c r="D21" s="33"/>
      <c r="E21" s="33"/>
      <c r="F21" s="33"/>
      <c r="G21" s="33"/>
      <c r="H21" s="33"/>
      <c r="I21" s="33"/>
      <c r="J21" s="33"/>
      <c r="K21" s="33"/>
      <c r="L21" s="33"/>
      <c r="M21" s="33"/>
    </row>
    <row r="22" spans="2:16" x14ac:dyDescent="0.25">
      <c r="B22" s="20"/>
      <c r="C22" s="22"/>
      <c r="D22" s="22"/>
      <c r="E22" s="22"/>
      <c r="F22" s="22"/>
      <c r="G22" s="22"/>
      <c r="H22" s="22"/>
      <c r="I22" s="22"/>
      <c r="J22" s="22"/>
      <c r="K22" s="22"/>
      <c r="L22" s="22"/>
      <c r="M22" s="22"/>
    </row>
    <row r="23" spans="2:16" x14ac:dyDescent="0.25">
      <c r="B23" s="20"/>
      <c r="C23" s="21"/>
      <c r="D23" s="21"/>
      <c r="E23" s="21"/>
      <c r="F23" s="21"/>
      <c r="G23" s="21"/>
      <c r="H23" s="22"/>
      <c r="I23" s="22"/>
      <c r="J23" s="22"/>
      <c r="K23" s="22"/>
      <c r="L23" s="22"/>
      <c r="M23" s="22"/>
    </row>
    <row r="24" spans="2:16" x14ac:dyDescent="0.25">
      <c r="B24" s="20"/>
      <c r="C24" s="23"/>
      <c r="D24" s="23"/>
      <c r="E24" s="23"/>
      <c r="F24" s="23"/>
      <c r="G24" s="23"/>
      <c r="H24" s="23"/>
      <c r="I24" s="23"/>
      <c r="J24" s="23"/>
      <c r="K24" s="23"/>
      <c r="L24" s="23"/>
      <c r="M24" s="23"/>
    </row>
    <row r="25" spans="2:16" x14ac:dyDescent="0.25">
      <c r="B25" s="20"/>
      <c r="C25" s="23"/>
      <c r="D25" s="23"/>
      <c r="E25" s="23"/>
      <c r="F25" s="23"/>
      <c r="G25" s="23"/>
      <c r="H25" s="23"/>
      <c r="I25" s="23"/>
      <c r="J25" s="23"/>
      <c r="K25" s="23"/>
      <c r="L25" s="23"/>
      <c r="M25" s="23"/>
    </row>
    <row r="26" spans="2:16" x14ac:dyDescent="0.25">
      <c r="B26" s="20"/>
      <c r="C26" s="23"/>
      <c r="D26" s="23"/>
      <c r="E26" s="23"/>
      <c r="F26" s="23"/>
      <c r="G26" s="23"/>
      <c r="H26" s="23"/>
      <c r="I26" s="23"/>
      <c r="J26" s="23"/>
      <c r="K26" s="23"/>
      <c r="L26" s="23"/>
      <c r="M26" s="23"/>
    </row>
    <row r="27" spans="2:16" x14ac:dyDescent="0.25">
      <c r="B27" s="20"/>
      <c r="C27" s="23"/>
      <c r="D27" s="23"/>
      <c r="E27" s="23"/>
      <c r="F27" s="23"/>
      <c r="G27" s="23"/>
      <c r="H27" s="23"/>
      <c r="I27" s="23"/>
      <c r="J27" s="23"/>
      <c r="K27" s="23"/>
      <c r="L27" s="23"/>
      <c r="M27" s="23"/>
    </row>
    <row r="28" spans="2:16" x14ac:dyDescent="0.25">
      <c r="B28" s="20"/>
      <c r="C28" s="23"/>
      <c r="D28" s="23"/>
      <c r="E28" s="23"/>
      <c r="F28" s="23"/>
      <c r="G28" s="23"/>
      <c r="H28" s="23"/>
      <c r="I28" s="23"/>
      <c r="J28" s="23"/>
      <c r="K28" s="23"/>
      <c r="L28" s="23"/>
      <c r="M28" s="23"/>
    </row>
    <row r="29" spans="2:16" x14ac:dyDescent="0.25">
      <c r="B29" s="21"/>
      <c r="C29" s="23"/>
      <c r="D29" s="23"/>
      <c r="E29" s="23"/>
      <c r="F29" s="23"/>
      <c r="G29" s="23"/>
      <c r="H29" s="23"/>
      <c r="I29" s="23"/>
      <c r="J29" s="23"/>
      <c r="K29" s="23"/>
      <c r="L29" s="23"/>
      <c r="M29" s="23"/>
    </row>
    <row r="30" spans="2:16" x14ac:dyDescent="0.25">
      <c r="B30" s="20"/>
      <c r="C30" s="24"/>
      <c r="D30" s="24"/>
      <c r="E30" s="24"/>
      <c r="F30" s="24"/>
      <c r="G30" s="24"/>
      <c r="H30" s="24"/>
      <c r="I30" s="24"/>
      <c r="J30" s="24"/>
      <c r="K30" s="24"/>
      <c r="L30" s="24"/>
      <c r="M30" s="24"/>
    </row>
    <row r="31" spans="2:16" x14ac:dyDescent="0.25">
      <c r="B31" s="21"/>
      <c r="C31" s="21"/>
      <c r="D31" s="21"/>
      <c r="E31" s="21"/>
      <c r="F31" s="21"/>
      <c r="G31" s="21"/>
      <c r="H31" s="21"/>
      <c r="I31" s="21"/>
      <c r="J31" s="21"/>
      <c r="K31" s="21"/>
      <c r="L31" s="21"/>
      <c r="M31" s="21"/>
    </row>
    <row r="32" spans="2:16" x14ac:dyDescent="0.25">
      <c r="B32" s="20"/>
      <c r="C32" s="25"/>
      <c r="D32" s="25"/>
      <c r="E32" s="25"/>
      <c r="F32" s="25"/>
      <c r="G32" s="25"/>
      <c r="H32" s="25"/>
      <c r="I32" s="25"/>
      <c r="J32" s="25"/>
      <c r="K32" s="25"/>
      <c r="L32" s="25"/>
      <c r="M32" s="25"/>
    </row>
    <row r="33" spans="2:13" x14ac:dyDescent="0.25">
      <c r="B33" s="21"/>
      <c r="C33" s="21"/>
      <c r="D33" s="21"/>
      <c r="E33" s="21"/>
      <c r="F33" s="21"/>
      <c r="G33" s="21"/>
      <c r="H33" s="21"/>
      <c r="I33" s="21"/>
      <c r="J33" s="21"/>
      <c r="K33" s="21"/>
      <c r="L33" s="21"/>
      <c r="M33" s="21"/>
    </row>
    <row r="34" spans="2:13" x14ac:dyDescent="0.25">
      <c r="B34" s="21"/>
      <c r="C34" s="21"/>
      <c r="D34" s="21"/>
      <c r="E34" s="21"/>
      <c r="F34" s="21"/>
      <c r="G34" s="21"/>
      <c r="H34" s="21"/>
      <c r="I34" s="21"/>
      <c r="J34" s="21"/>
      <c r="K34" s="21"/>
      <c r="L34" s="21"/>
      <c r="M34" s="21"/>
    </row>
    <row r="35" spans="2:13" x14ac:dyDescent="0.25">
      <c r="B35" s="21"/>
      <c r="C35" s="21"/>
      <c r="D35" s="21"/>
      <c r="E35" s="21"/>
      <c r="F35" s="21"/>
      <c r="G35" s="21"/>
      <c r="H35" s="21"/>
      <c r="I35" s="21"/>
      <c r="J35" s="21"/>
      <c r="K35" s="21"/>
      <c r="L35" s="21"/>
      <c r="M35" s="21"/>
    </row>
    <row r="36" spans="2:13" x14ac:dyDescent="0.25">
      <c r="B36" s="20"/>
      <c r="C36" s="22"/>
      <c r="D36" s="22"/>
      <c r="E36" s="22"/>
      <c r="F36" s="22"/>
      <c r="G36" s="22"/>
      <c r="H36" s="22"/>
      <c r="I36" s="22"/>
      <c r="J36" s="22"/>
      <c r="K36" s="22"/>
      <c r="L36" s="22"/>
      <c r="M36" s="22"/>
    </row>
    <row r="37" spans="2:13" x14ac:dyDescent="0.25">
      <c r="B37" s="20"/>
      <c r="C37" s="22"/>
      <c r="D37" s="22"/>
      <c r="E37" s="22"/>
      <c r="F37" s="22"/>
      <c r="G37" s="22"/>
      <c r="H37" s="22"/>
      <c r="I37" s="22"/>
      <c r="J37" s="22"/>
      <c r="K37" s="22"/>
      <c r="L37" s="22"/>
      <c r="M37" s="22"/>
    </row>
    <row r="38" spans="2:13" x14ac:dyDescent="0.25">
      <c r="B38" s="20"/>
      <c r="C38" s="22"/>
      <c r="D38" s="22"/>
      <c r="E38" s="22"/>
      <c r="F38" s="22"/>
      <c r="G38" s="22"/>
      <c r="H38" s="22"/>
      <c r="I38" s="22"/>
      <c r="J38" s="22"/>
      <c r="K38" s="22"/>
      <c r="L38" s="22"/>
      <c r="M38" s="22"/>
    </row>
    <row r="39" spans="2:13" x14ac:dyDescent="0.25">
      <c r="B39" s="20"/>
      <c r="C39" s="22"/>
      <c r="D39" s="22"/>
      <c r="E39" s="22"/>
      <c r="F39" s="22"/>
      <c r="G39" s="22"/>
      <c r="H39" s="22"/>
      <c r="I39" s="22"/>
      <c r="J39" s="22"/>
      <c r="K39" s="22"/>
      <c r="L39" s="22"/>
      <c r="M39" s="22"/>
    </row>
    <row r="40" spans="2:13" x14ac:dyDescent="0.25">
      <c r="B40" s="20"/>
      <c r="C40" s="22"/>
      <c r="D40" s="22"/>
      <c r="E40" s="22"/>
      <c r="F40" s="22"/>
      <c r="G40" s="22"/>
      <c r="H40" s="22"/>
      <c r="I40" s="22"/>
      <c r="J40" s="22"/>
      <c r="K40" s="22"/>
      <c r="L40" s="22"/>
      <c r="M40" s="22"/>
    </row>
    <row r="41" spans="2:13" x14ac:dyDescent="0.25">
      <c r="B41" s="20"/>
      <c r="C41" s="22"/>
      <c r="D41" s="22"/>
      <c r="E41" s="22"/>
      <c r="F41" s="22"/>
      <c r="G41" s="22"/>
      <c r="H41" s="22"/>
      <c r="I41" s="22"/>
      <c r="J41" s="22"/>
      <c r="K41" s="22"/>
      <c r="L41" s="22"/>
      <c r="M41" s="22"/>
    </row>
    <row r="42" spans="2:13" x14ac:dyDescent="0.25">
      <c r="B42" s="21"/>
      <c r="C42" s="21"/>
      <c r="D42" s="21"/>
      <c r="E42" s="21"/>
      <c r="F42" s="21"/>
      <c r="G42" s="21"/>
      <c r="H42" s="21"/>
      <c r="I42" s="21"/>
      <c r="J42" s="21"/>
      <c r="K42" s="21"/>
      <c r="L42" s="21"/>
      <c r="M42" s="21"/>
    </row>
    <row r="43" spans="2:13" x14ac:dyDescent="0.25">
      <c r="B43" s="20"/>
      <c r="C43" s="23"/>
      <c r="D43" s="23"/>
      <c r="E43" s="23"/>
      <c r="F43" s="23"/>
      <c r="G43" s="23"/>
      <c r="H43" s="23"/>
      <c r="I43" s="23"/>
      <c r="J43" s="23"/>
      <c r="K43" s="23"/>
      <c r="L43" s="23"/>
      <c r="M43" s="23"/>
    </row>
    <row r="44" spans="2:13" x14ac:dyDescent="0.25">
      <c r="B44" s="20"/>
      <c r="C44" s="23"/>
      <c r="D44" s="23"/>
      <c r="E44" s="23"/>
      <c r="F44" s="23"/>
      <c r="G44" s="23"/>
      <c r="H44" s="23"/>
      <c r="I44" s="23"/>
      <c r="J44" s="23"/>
      <c r="K44" s="23"/>
      <c r="L44" s="23"/>
      <c r="M44" s="23"/>
    </row>
    <row r="45" spans="2:13" x14ac:dyDescent="0.25">
      <c r="B45" s="20"/>
      <c r="C45" s="23"/>
      <c r="D45" s="23"/>
      <c r="E45" s="23"/>
      <c r="F45" s="23"/>
      <c r="G45" s="23"/>
      <c r="H45" s="23"/>
      <c r="I45" s="23"/>
      <c r="J45" s="23"/>
      <c r="K45" s="23"/>
      <c r="L45" s="23"/>
      <c r="M45" s="23"/>
    </row>
    <row r="46" spans="2:13" x14ac:dyDescent="0.25">
      <c r="B46" s="20"/>
      <c r="C46" s="23"/>
      <c r="D46" s="23"/>
      <c r="E46" s="23"/>
      <c r="F46" s="23"/>
      <c r="G46" s="23"/>
      <c r="H46" s="23"/>
      <c r="I46" s="23"/>
      <c r="J46" s="23"/>
      <c r="K46" s="23"/>
      <c r="L46" s="23"/>
      <c r="M46" s="23"/>
    </row>
    <row r="47" spans="2:13" x14ac:dyDescent="0.25">
      <c r="B47" s="20"/>
      <c r="C47" s="23"/>
      <c r="D47" s="23"/>
      <c r="E47" s="23"/>
      <c r="F47" s="23"/>
      <c r="G47" s="23"/>
      <c r="H47" s="23"/>
      <c r="I47" s="23"/>
      <c r="J47" s="23"/>
      <c r="K47" s="23"/>
      <c r="L47" s="23"/>
      <c r="M47" s="23"/>
    </row>
    <row r="48" spans="2:13" x14ac:dyDescent="0.25">
      <c r="B48" s="21"/>
      <c r="C48" s="23"/>
      <c r="D48" s="23"/>
      <c r="E48" s="23"/>
      <c r="F48" s="23"/>
      <c r="G48" s="23"/>
      <c r="H48" s="23"/>
      <c r="I48" s="23"/>
      <c r="J48" s="23"/>
      <c r="K48" s="23"/>
      <c r="L48" s="23"/>
      <c r="M48" s="23"/>
    </row>
    <row r="49" spans="2:13" x14ac:dyDescent="0.25">
      <c r="B49" s="20"/>
      <c r="C49" s="24"/>
      <c r="D49" s="24"/>
      <c r="E49" s="24"/>
      <c r="F49" s="24"/>
      <c r="G49" s="24"/>
      <c r="H49" s="24"/>
      <c r="I49" s="24"/>
      <c r="J49" s="24"/>
      <c r="K49" s="24"/>
      <c r="L49" s="24"/>
      <c r="M49" s="24"/>
    </row>
    <row r="50" spans="2:13" x14ac:dyDescent="0.25">
      <c r="B50" s="2"/>
      <c r="C50" s="19"/>
      <c r="D50" s="19"/>
      <c r="E50" s="19"/>
      <c r="F50" s="19"/>
      <c r="G50" s="19"/>
      <c r="H50" s="19"/>
      <c r="I50" s="19"/>
      <c r="J50" s="19"/>
      <c r="K50" s="19"/>
      <c r="L50" s="19"/>
      <c r="M50" s="19"/>
    </row>
    <row r="53" spans="2:13" x14ac:dyDescent="0.25">
      <c r="B53" s="20"/>
      <c r="C53" s="22"/>
      <c r="D53" s="22"/>
      <c r="E53" s="22"/>
      <c r="F53" s="22"/>
      <c r="G53" s="22"/>
      <c r="H53" s="22"/>
      <c r="I53" s="22"/>
      <c r="J53" s="22"/>
      <c r="K53" s="22"/>
      <c r="L53" s="22"/>
      <c r="M53" s="22"/>
    </row>
    <row r="54" spans="2:13" x14ac:dyDescent="0.25">
      <c r="B54" s="20"/>
      <c r="C54" s="22"/>
      <c r="D54" s="22"/>
      <c r="E54" s="22"/>
      <c r="F54" s="22"/>
      <c r="G54" s="22"/>
      <c r="H54" s="22"/>
      <c r="I54" s="22"/>
      <c r="J54" s="22"/>
      <c r="K54" s="22"/>
      <c r="L54" s="22"/>
      <c r="M54" s="22"/>
    </row>
    <row r="55" spans="2:13" x14ac:dyDescent="0.25">
      <c r="B55" s="20"/>
      <c r="C55" s="22"/>
      <c r="D55" s="22"/>
      <c r="E55" s="22"/>
      <c r="F55" s="22"/>
      <c r="G55" s="22"/>
      <c r="H55" s="22"/>
      <c r="I55" s="22"/>
      <c r="J55" s="22"/>
      <c r="K55" s="22"/>
      <c r="L55" s="22"/>
      <c r="M55" s="22"/>
    </row>
    <row r="56" spans="2:13" x14ac:dyDescent="0.25">
      <c r="B56" s="20"/>
      <c r="C56" s="22"/>
      <c r="D56" s="22"/>
      <c r="E56" s="22"/>
      <c r="F56" s="22"/>
      <c r="G56" s="22"/>
      <c r="H56" s="22"/>
      <c r="I56" s="22"/>
      <c r="J56" s="22"/>
      <c r="K56" s="22"/>
      <c r="L56" s="22"/>
      <c r="M56" s="22"/>
    </row>
    <row r="57" spans="2:13" x14ac:dyDescent="0.25">
      <c r="B57" s="20"/>
      <c r="C57" s="22"/>
      <c r="D57" s="22"/>
      <c r="E57" s="22"/>
      <c r="F57" s="22"/>
      <c r="G57" s="22"/>
      <c r="H57" s="22"/>
      <c r="I57" s="22"/>
      <c r="J57" s="22"/>
      <c r="K57" s="22"/>
      <c r="L57" s="22"/>
      <c r="M57" s="22"/>
    </row>
    <row r="58" spans="2:13" x14ac:dyDescent="0.25">
      <c r="B58" s="21"/>
      <c r="C58" s="26"/>
      <c r="D58" s="26"/>
      <c r="E58" s="26"/>
      <c r="F58" s="26"/>
      <c r="G58" s="26"/>
      <c r="H58" s="26"/>
      <c r="I58" s="26"/>
      <c r="J58" s="26"/>
      <c r="K58" s="26"/>
      <c r="L58" s="26"/>
      <c r="M58" s="26"/>
    </row>
  </sheetData>
  <pageMargins left="0.70866141732283472" right="0.70866141732283472" top="0.74803149606299213" bottom="0.74803149606299213" header="0.31496062992125984" footer="0.31496062992125984"/>
  <pageSetup paperSize="9" scale="75"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6E60D-FC0A-4796-A012-06314A80CE27}">
  <dimension ref="B2:M19"/>
  <sheetViews>
    <sheetView showGridLines="0" workbookViewId="0">
      <pane xSplit="1" ySplit="2" topLeftCell="B3" activePane="bottomRight" state="frozen"/>
      <selection pane="topRight" activeCell="B1" sqref="B1"/>
      <selection pane="bottomLeft" activeCell="A3" sqref="A3"/>
      <selection pane="bottomRight" activeCell="N7" sqref="N7"/>
    </sheetView>
  </sheetViews>
  <sheetFormatPr baseColWidth="10" defaultRowHeight="15" x14ac:dyDescent="0.25"/>
  <cols>
    <col min="1" max="1" width="3.28515625" style="3" customWidth="1"/>
    <col min="2" max="2" width="48" style="3" customWidth="1"/>
    <col min="3" max="7" width="10.140625" style="303" customWidth="1"/>
    <col min="8" max="8" width="10.28515625" style="303" customWidth="1"/>
    <col min="9" max="9" width="14.5703125" style="303" customWidth="1"/>
    <col min="10" max="10" width="10.140625" style="303" customWidth="1"/>
    <col min="11" max="11" width="19" style="1" customWidth="1"/>
    <col min="12" max="12" width="11.42578125" style="303"/>
    <col min="13" max="13" width="25.140625" style="11" customWidth="1"/>
    <col min="14" max="16384" width="11.42578125" style="3"/>
  </cols>
  <sheetData>
    <row r="2" spans="2:13" ht="36" x14ac:dyDescent="0.25">
      <c r="B2" s="9" t="s">
        <v>2</v>
      </c>
      <c r="C2" s="5">
        <v>44</v>
      </c>
      <c r="D2" s="5">
        <v>49</v>
      </c>
      <c r="E2" s="5">
        <v>53</v>
      </c>
      <c r="F2" s="5">
        <v>72</v>
      </c>
      <c r="G2" s="5">
        <v>85</v>
      </c>
      <c r="H2" s="31" t="s">
        <v>12</v>
      </c>
      <c r="I2" s="32" t="s">
        <v>34</v>
      </c>
      <c r="J2" s="307" t="s">
        <v>82</v>
      </c>
      <c r="K2" s="10" t="s">
        <v>0</v>
      </c>
      <c r="L2" s="10" t="s">
        <v>24</v>
      </c>
      <c r="M2" s="10" t="s">
        <v>1</v>
      </c>
    </row>
    <row r="3" spans="2:13" ht="27.75" customHeight="1" x14ac:dyDescent="0.25">
      <c r="B3" s="56" t="s">
        <v>3</v>
      </c>
      <c r="C3" s="308">
        <v>4763</v>
      </c>
      <c r="D3" s="308">
        <v>2853</v>
      </c>
      <c r="E3" s="308">
        <v>989</v>
      </c>
      <c r="F3" s="308">
        <v>1536</v>
      </c>
      <c r="G3" s="308">
        <v>1472</v>
      </c>
      <c r="H3" s="278">
        <f>SUM(C3:G3)</f>
        <v>11613</v>
      </c>
      <c r="I3" s="279">
        <v>172116</v>
      </c>
      <c r="J3" s="280">
        <v>12166</v>
      </c>
      <c r="K3" s="60" t="s">
        <v>190</v>
      </c>
      <c r="L3" s="281">
        <v>43800</v>
      </c>
      <c r="M3" s="61"/>
    </row>
    <row r="4" spans="2:13" ht="30" x14ac:dyDescent="0.25">
      <c r="B4" s="57" t="s">
        <v>14</v>
      </c>
      <c r="C4" s="313">
        <v>3.6999999999999998E-2</v>
      </c>
      <c r="D4" s="313">
        <v>1E-3</v>
      </c>
      <c r="E4" s="313">
        <v>-1E-3</v>
      </c>
      <c r="F4" s="313">
        <v>4.2999999999999997E-2</v>
      </c>
      <c r="G4" s="313">
        <v>-0.312</v>
      </c>
      <c r="H4" s="282" t="s">
        <v>185</v>
      </c>
      <c r="I4" s="62">
        <v>2.4E-2</v>
      </c>
      <c r="J4" s="106">
        <v>2.8000000000000001E-2</v>
      </c>
      <c r="K4" s="60" t="s">
        <v>190</v>
      </c>
      <c r="L4" s="283" t="s">
        <v>191</v>
      </c>
      <c r="M4" s="64"/>
    </row>
    <row r="5" spans="2:13" ht="30" x14ac:dyDescent="0.25">
      <c r="B5" s="57" t="s">
        <v>4</v>
      </c>
      <c r="C5" s="309">
        <v>0.41</v>
      </c>
      <c r="D5" s="309">
        <v>0.25</v>
      </c>
      <c r="E5" s="309">
        <v>0.09</v>
      </c>
      <c r="F5" s="309">
        <v>0.13</v>
      </c>
      <c r="G5" s="309">
        <v>0.13</v>
      </c>
      <c r="H5" s="285">
        <v>1</v>
      </c>
      <c r="I5" s="65" t="s">
        <v>35</v>
      </c>
      <c r="J5" s="160">
        <v>1</v>
      </c>
      <c r="K5" s="60" t="s">
        <v>190</v>
      </c>
      <c r="L5" s="281">
        <v>43800</v>
      </c>
      <c r="M5" s="64"/>
    </row>
    <row r="6" spans="2:13" ht="28.5" customHeight="1" x14ac:dyDescent="0.25">
      <c r="B6" s="57" t="s">
        <v>81</v>
      </c>
      <c r="C6" s="284">
        <f>C3/'Démographie des asso'!C3</f>
        <v>0.13788611296065773</v>
      </c>
      <c r="D6" s="284">
        <f>D3/'Démographie des asso'!D3</f>
        <v>9.8155921007362548E-2</v>
      </c>
      <c r="E6" s="284">
        <f>E3/'Démographie des asso'!E3</f>
        <v>0.11875600384245917</v>
      </c>
      <c r="F6" s="284">
        <f>F3/'Démographie des asso'!F3</f>
        <v>8.3027027027027023E-2</v>
      </c>
      <c r="G6" s="284">
        <f>G3/'Démographie des asso'!G3</f>
        <v>8.2322017784240253E-2</v>
      </c>
      <c r="H6" s="287">
        <f>H3/'Démographie des asso'!H3</f>
        <v>0.10721209771229158</v>
      </c>
      <c r="I6" s="285" t="s">
        <v>35</v>
      </c>
      <c r="J6" s="311">
        <v>0.13</v>
      </c>
      <c r="K6" s="63" t="s">
        <v>192</v>
      </c>
      <c r="L6" s="281"/>
      <c r="M6" s="67"/>
    </row>
    <row r="7" spans="2:13" ht="29.25" customHeight="1" x14ac:dyDescent="0.25">
      <c r="B7" s="108" t="s">
        <v>5</v>
      </c>
      <c r="C7" s="288">
        <v>55713</v>
      </c>
      <c r="D7" s="288">
        <v>35117</v>
      </c>
      <c r="E7" s="288">
        <v>10763</v>
      </c>
      <c r="F7" s="288">
        <v>16943</v>
      </c>
      <c r="G7" s="288">
        <v>23922</v>
      </c>
      <c r="H7" s="289">
        <f>SUM(C7:G7)</f>
        <v>142458</v>
      </c>
      <c r="I7" s="290">
        <v>2029991</v>
      </c>
      <c r="J7" s="291">
        <v>141545</v>
      </c>
      <c r="K7" s="60" t="s">
        <v>190</v>
      </c>
      <c r="L7" s="281">
        <v>43800</v>
      </c>
      <c r="M7" s="64"/>
    </row>
    <row r="8" spans="2:13" ht="29.25" customHeight="1" x14ac:dyDescent="0.25">
      <c r="B8" s="57" t="s">
        <v>36</v>
      </c>
      <c r="C8" s="313">
        <v>3.9E-2</v>
      </c>
      <c r="D8" s="313">
        <v>1.4999999999999999E-2</v>
      </c>
      <c r="E8" s="313">
        <v>-1.4E-2</v>
      </c>
      <c r="F8" s="313">
        <v>3.0000000000000001E-3</v>
      </c>
      <c r="G8" s="313">
        <v>1.7000000000000001E-2</v>
      </c>
      <c r="H8" s="282">
        <v>2.1000000000000001E-2</v>
      </c>
      <c r="I8" s="292">
        <v>2.4E-2</v>
      </c>
      <c r="J8" s="106">
        <v>1.9E-2</v>
      </c>
      <c r="K8" s="60" t="s">
        <v>190</v>
      </c>
      <c r="L8" s="283" t="s">
        <v>191</v>
      </c>
      <c r="M8" s="64"/>
    </row>
    <row r="9" spans="2:13" ht="29.25" customHeight="1" x14ac:dyDescent="0.25">
      <c r="B9" s="57" t="s">
        <v>7</v>
      </c>
      <c r="C9" s="299">
        <v>0.39100000000000001</v>
      </c>
      <c r="D9" s="299">
        <v>0.247</v>
      </c>
      <c r="E9" s="299">
        <v>7.5999999999999998E-2</v>
      </c>
      <c r="F9" s="299">
        <v>0.11899999999999999</v>
      </c>
      <c r="G9" s="299">
        <v>0.16800000000000001</v>
      </c>
      <c r="H9" s="285">
        <v>1</v>
      </c>
      <c r="I9" s="65" t="s">
        <v>35</v>
      </c>
      <c r="J9" s="160">
        <v>0.99999999999999989</v>
      </c>
      <c r="K9" s="60" t="s">
        <v>190</v>
      </c>
      <c r="L9" s="281">
        <v>43800</v>
      </c>
      <c r="M9" s="64"/>
    </row>
    <row r="10" spans="2:13" ht="29.25" customHeight="1" x14ac:dyDescent="0.25">
      <c r="B10" s="57" t="s">
        <v>10</v>
      </c>
      <c r="C10" s="293">
        <f>C7/C3</f>
        <v>11.697039680873399</v>
      </c>
      <c r="D10" s="293">
        <f t="shared" ref="D10:G10" si="0">D7/D3</f>
        <v>12.308797756747284</v>
      </c>
      <c r="E10" s="293">
        <f t="shared" si="0"/>
        <v>10.882709807886755</v>
      </c>
      <c r="F10" s="293">
        <f t="shared" si="0"/>
        <v>11.030598958333334</v>
      </c>
      <c r="G10" s="293">
        <f t="shared" si="0"/>
        <v>16.251358695652176</v>
      </c>
      <c r="H10" s="294">
        <f>H7/H3</f>
        <v>12.267114440712994</v>
      </c>
      <c r="I10" s="294">
        <f>I7/I3</f>
        <v>11.794318947686444</v>
      </c>
      <c r="J10" s="295">
        <v>11.6</v>
      </c>
      <c r="K10" s="60" t="s">
        <v>190</v>
      </c>
      <c r="L10" s="281">
        <v>43800</v>
      </c>
      <c r="M10" s="64"/>
    </row>
    <row r="11" spans="2:13" ht="29.25" customHeight="1" x14ac:dyDescent="0.25">
      <c r="B11" s="57" t="s">
        <v>79</v>
      </c>
      <c r="C11" s="310">
        <v>9.5399999999999999E-2</v>
      </c>
      <c r="D11" s="310">
        <v>0.1191</v>
      </c>
      <c r="E11" s="310">
        <v>9.6799999999999997E-2</v>
      </c>
      <c r="F11" s="310">
        <v>8.8200000000000001E-2</v>
      </c>
      <c r="G11" s="310">
        <v>0.10050000000000001</v>
      </c>
      <c r="H11" s="65">
        <v>0.1</v>
      </c>
      <c r="I11" s="297">
        <v>0.122</v>
      </c>
      <c r="J11" s="311">
        <v>0.10299999999999999</v>
      </c>
      <c r="K11" s="60" t="s">
        <v>190</v>
      </c>
      <c r="L11" s="281">
        <v>43800</v>
      </c>
      <c r="M11" s="64"/>
    </row>
    <row r="12" spans="2:13" ht="28.5" customHeight="1" x14ac:dyDescent="0.25">
      <c r="B12" s="108" t="s">
        <v>6</v>
      </c>
      <c r="C12" s="298">
        <v>42595.98</v>
      </c>
      <c r="D12" s="298">
        <v>26385.73</v>
      </c>
      <c r="E12" s="298">
        <v>8301.2099999999991</v>
      </c>
      <c r="F12" s="298">
        <v>12787.91</v>
      </c>
      <c r="G12" s="298">
        <v>17822.73</v>
      </c>
      <c r="H12" s="289">
        <f>SUM(C12:G12)</f>
        <v>107893.56000000001</v>
      </c>
      <c r="I12" s="290">
        <v>1541914.28</v>
      </c>
      <c r="J12" s="291">
        <v>107077</v>
      </c>
      <c r="K12" s="60" t="s">
        <v>190</v>
      </c>
      <c r="L12" s="281">
        <v>43800</v>
      </c>
      <c r="M12" s="64"/>
    </row>
    <row r="13" spans="2:13" ht="28.5" customHeight="1" x14ac:dyDescent="0.25">
      <c r="B13" s="57" t="s">
        <v>8</v>
      </c>
      <c r="C13" s="286">
        <v>0.39500000000000002</v>
      </c>
      <c r="D13" s="286">
        <v>0.245</v>
      </c>
      <c r="E13" s="286">
        <v>7.6999999999999999E-2</v>
      </c>
      <c r="F13" s="286">
        <v>0.11899999999999999</v>
      </c>
      <c r="G13" s="286">
        <v>0.16500000000000001</v>
      </c>
      <c r="H13" s="65">
        <v>1</v>
      </c>
      <c r="I13" s="65" t="s">
        <v>35</v>
      </c>
      <c r="J13" s="160">
        <v>1</v>
      </c>
      <c r="K13" s="60" t="s">
        <v>190</v>
      </c>
      <c r="L13" s="281">
        <v>43800</v>
      </c>
      <c r="M13" s="64"/>
    </row>
    <row r="14" spans="2:13" ht="28.5" customHeight="1" x14ac:dyDescent="0.25">
      <c r="B14" s="57" t="s">
        <v>11</v>
      </c>
      <c r="C14" s="293">
        <f>C12/C3</f>
        <v>8.9430988872559318</v>
      </c>
      <c r="D14" s="293">
        <f t="shared" ref="D14:G14" si="1">D12/D3</f>
        <v>9.2484157027690141</v>
      </c>
      <c r="E14" s="293">
        <f t="shared" si="1"/>
        <v>8.3935389282103134</v>
      </c>
      <c r="F14" s="293">
        <f t="shared" si="1"/>
        <v>8.3254622395833326</v>
      </c>
      <c r="G14" s="293">
        <f t="shared" si="1"/>
        <v>12.107832880434783</v>
      </c>
      <c r="H14" s="294">
        <f>H12/H3</f>
        <v>9.2907569103590806</v>
      </c>
      <c r="I14" s="294">
        <f>I12/I3</f>
        <v>8.9585760765995026</v>
      </c>
      <c r="J14" s="295">
        <v>8.8000000000000007</v>
      </c>
      <c r="K14" s="60" t="s">
        <v>190</v>
      </c>
      <c r="L14" s="281">
        <v>43800</v>
      </c>
      <c r="M14" s="64"/>
    </row>
    <row r="15" spans="2:13" ht="28.5" customHeight="1" x14ac:dyDescent="0.25">
      <c r="B15" s="57" t="s">
        <v>33</v>
      </c>
      <c r="C15" s="300">
        <f>C7/C12</f>
        <v>1.3079403267632297</v>
      </c>
      <c r="D15" s="300">
        <f t="shared" ref="D15:G15" si="2">D7/D12</f>
        <v>1.3309087904712131</v>
      </c>
      <c r="E15" s="300">
        <f t="shared" si="2"/>
        <v>1.2965579716691906</v>
      </c>
      <c r="F15" s="300">
        <f t="shared" si="2"/>
        <v>1.3249233064668113</v>
      </c>
      <c r="G15" s="300">
        <f t="shared" si="2"/>
        <v>1.342218616339921</v>
      </c>
      <c r="H15" s="296">
        <f>H7/H12</f>
        <v>1.3203568405751001</v>
      </c>
      <c r="I15" s="296">
        <f>I7/I12</f>
        <v>1.3165394641782551</v>
      </c>
      <c r="J15" s="301">
        <v>1.32</v>
      </c>
      <c r="K15" s="60" t="s">
        <v>190</v>
      </c>
      <c r="L15" s="281">
        <v>43800</v>
      </c>
      <c r="M15" s="64"/>
    </row>
    <row r="16" spans="2:13" ht="28.5" customHeight="1" x14ac:dyDescent="0.25">
      <c r="B16" s="110" t="s">
        <v>62</v>
      </c>
      <c r="C16" s="310">
        <v>6.9000000000000006E-2</v>
      </c>
      <c r="D16" s="310">
        <v>9.4E-2</v>
      </c>
      <c r="E16" s="310">
        <v>7.8E-2</v>
      </c>
      <c r="F16" s="310">
        <v>6.7000000000000004E-2</v>
      </c>
      <c r="G16" s="310">
        <v>7.6999999999999999E-2</v>
      </c>
      <c r="H16" s="107" t="s">
        <v>186</v>
      </c>
      <c r="I16" s="107">
        <v>5.8999999999999997E-2</v>
      </c>
      <c r="J16" s="302">
        <v>7.5999999999999998E-2</v>
      </c>
      <c r="K16" s="60" t="s">
        <v>190</v>
      </c>
      <c r="L16" s="281">
        <v>43800</v>
      </c>
      <c r="M16" s="69"/>
    </row>
    <row r="17" spans="2:13" ht="7.15" customHeight="1" x14ac:dyDescent="0.25">
      <c r="B17" s="12"/>
      <c r="C17" s="18"/>
      <c r="D17" s="18"/>
      <c r="E17" s="18"/>
      <c r="F17" s="18"/>
      <c r="G17" s="18"/>
      <c r="H17" s="18"/>
      <c r="I17" s="18"/>
      <c r="J17" s="18"/>
      <c r="K17" s="17"/>
      <c r="L17" s="18"/>
      <c r="M17" s="16"/>
    </row>
    <row r="18" spans="2:13" ht="29.25" customHeight="1" x14ac:dyDescent="0.25"/>
    <row r="19" spans="2:13" x14ac:dyDescent="0.25">
      <c r="C19" s="312"/>
      <c r="D19" s="312"/>
      <c r="E19" s="312"/>
      <c r="F19" s="312"/>
      <c r="G19" s="312"/>
    </row>
  </sheetData>
  <pageMargins left="0.70866141732283472" right="0.70866141732283472" top="0.74803149606299213" bottom="0.74803149606299213" header="0.31496062992125984" footer="0.31496062992125984"/>
  <pageSetup paperSize="9" scale="8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P48"/>
  <sheetViews>
    <sheetView showGridLines="0" zoomScaleNormal="100" workbookViewId="0">
      <pane ySplit="2" topLeftCell="A3" activePane="bottomLeft" state="frozen"/>
      <selection pane="bottomLeft" activeCell="I29" sqref="I29"/>
    </sheetView>
  </sheetViews>
  <sheetFormatPr baseColWidth="10" defaultRowHeight="15" x14ac:dyDescent="0.25"/>
  <cols>
    <col min="1" max="1" width="3.28515625" customWidth="1"/>
    <col min="2" max="2" width="46.140625" customWidth="1"/>
    <col min="3" max="7" width="10.140625" customWidth="1"/>
    <col min="8" max="9" width="10.28515625" customWidth="1"/>
    <col min="10" max="13" width="11.42578125" customWidth="1"/>
    <col min="14" max="14" width="27.42578125" style="1" bestFit="1" customWidth="1"/>
    <col min="15" max="15" width="11.42578125" style="6"/>
    <col min="16" max="16" width="25.140625" style="11" customWidth="1"/>
  </cols>
  <sheetData>
    <row r="1" spans="2:16" x14ac:dyDescent="0.25">
      <c r="B1" s="29"/>
    </row>
    <row r="2" spans="2:16" ht="60" x14ac:dyDescent="0.25">
      <c r="B2" s="9" t="s">
        <v>2</v>
      </c>
      <c r="C2" s="5">
        <v>44</v>
      </c>
      <c r="D2" s="5">
        <v>49</v>
      </c>
      <c r="E2" s="5">
        <v>53</v>
      </c>
      <c r="F2" s="5">
        <v>72</v>
      </c>
      <c r="G2" s="5">
        <v>85</v>
      </c>
      <c r="H2" s="30" t="s">
        <v>12</v>
      </c>
      <c r="I2" s="97" t="s">
        <v>204</v>
      </c>
      <c r="J2" s="97" t="s">
        <v>195</v>
      </c>
      <c r="K2" s="97" t="s">
        <v>187</v>
      </c>
      <c r="L2" s="97" t="s">
        <v>151</v>
      </c>
      <c r="M2" s="97" t="s">
        <v>120</v>
      </c>
      <c r="N2" s="10" t="s">
        <v>0</v>
      </c>
      <c r="O2" s="10" t="s">
        <v>24</v>
      </c>
      <c r="P2" s="10" t="s">
        <v>1</v>
      </c>
    </row>
    <row r="3" spans="2:16" ht="30" x14ac:dyDescent="0.25">
      <c r="B3" s="111" t="s">
        <v>37</v>
      </c>
      <c r="C3" s="70">
        <v>34543</v>
      </c>
      <c r="D3" s="70">
        <v>29066</v>
      </c>
      <c r="E3" s="70">
        <v>8328</v>
      </c>
      <c r="F3" s="70">
        <v>18500</v>
      </c>
      <c r="G3" s="70">
        <v>17881</v>
      </c>
      <c r="H3" s="71">
        <v>108318</v>
      </c>
      <c r="I3" s="98">
        <v>103535</v>
      </c>
      <c r="J3" s="98">
        <v>100019</v>
      </c>
      <c r="K3" s="98">
        <v>96583</v>
      </c>
      <c r="L3" s="98">
        <v>95653</v>
      </c>
      <c r="M3" s="98">
        <f>'Démographie des asso'!M3</f>
        <v>88994</v>
      </c>
      <c r="N3" s="87" t="s">
        <v>148</v>
      </c>
      <c r="O3" s="88">
        <v>45689</v>
      </c>
      <c r="P3" s="61"/>
    </row>
    <row r="4" spans="2:16" ht="30" x14ac:dyDescent="0.25">
      <c r="B4" s="112" t="s">
        <v>15</v>
      </c>
      <c r="C4" s="109">
        <v>7786</v>
      </c>
      <c r="D4" s="109">
        <v>6196</v>
      </c>
      <c r="E4" s="109">
        <v>1904</v>
      </c>
      <c r="F4" s="109">
        <v>4488</v>
      </c>
      <c r="G4" s="109">
        <v>3200</v>
      </c>
      <c r="H4" s="113">
        <v>23574</v>
      </c>
      <c r="I4" s="114">
        <v>22443</v>
      </c>
      <c r="J4" s="114">
        <v>21762</v>
      </c>
      <c r="K4" s="114">
        <v>21060</v>
      </c>
      <c r="L4" s="114">
        <v>20863</v>
      </c>
      <c r="M4" s="114">
        <v>19308</v>
      </c>
      <c r="N4" s="90" t="s">
        <v>148</v>
      </c>
      <c r="O4" s="91">
        <v>45689</v>
      </c>
      <c r="P4" s="131"/>
    </row>
    <row r="5" spans="2:16" ht="29.25" customHeight="1" x14ac:dyDescent="0.25">
      <c r="B5" s="115" t="s">
        <v>38</v>
      </c>
      <c r="C5" s="116">
        <f>C4/C3</f>
        <v>0.22540022580551777</v>
      </c>
      <c r="D5" s="116">
        <f t="shared" ref="D5:G5" si="0">D4/D3</f>
        <v>0.21317002683547787</v>
      </c>
      <c r="E5" s="116">
        <f t="shared" si="0"/>
        <v>0.22862632084534101</v>
      </c>
      <c r="F5" s="116">
        <f t="shared" si="0"/>
        <v>0.24259459459459459</v>
      </c>
      <c r="G5" s="116">
        <f t="shared" si="0"/>
        <v>0.17896090822660926</v>
      </c>
      <c r="H5" s="117">
        <f>H4/H3</f>
        <v>0.21763695784634132</v>
      </c>
      <c r="I5" s="118">
        <v>0.21676727676631091</v>
      </c>
      <c r="J5" s="118">
        <v>0.21757866005458962</v>
      </c>
      <c r="K5" s="118">
        <v>0.21805079568868227</v>
      </c>
      <c r="L5" s="118">
        <v>0.21811129812969798</v>
      </c>
      <c r="M5" s="118">
        <v>0.22</v>
      </c>
      <c r="N5" s="90" t="s">
        <v>148</v>
      </c>
      <c r="O5" s="91">
        <v>45689</v>
      </c>
      <c r="P5" s="67" t="s">
        <v>45</v>
      </c>
    </row>
    <row r="6" spans="2:16" ht="30" x14ac:dyDescent="0.25">
      <c r="B6" s="115" t="s">
        <v>22</v>
      </c>
      <c r="C6" s="119">
        <v>4.2282922875285144E-2</v>
      </c>
      <c r="D6" s="119">
        <v>1.6626735076037263E-2</v>
      </c>
      <c r="E6" s="119">
        <v>2.0028239229177021E-2</v>
      </c>
      <c r="F6" s="119">
        <v>1.3235132417505216E-2</v>
      </c>
      <c r="G6" s="119">
        <v>2.8335971843305191E-2</v>
      </c>
      <c r="H6" s="120">
        <v>2.5866184560430328E-2</v>
      </c>
      <c r="I6" s="121">
        <v>2.6563089656924575E-2</v>
      </c>
      <c r="J6" s="121">
        <v>2.629237466072918E-2</v>
      </c>
      <c r="K6" s="121">
        <v>2.9402049841924204E-2</v>
      </c>
      <c r="L6" s="121">
        <v>3.1E-2</v>
      </c>
      <c r="M6" s="121">
        <v>3.4839187220842519E-2</v>
      </c>
      <c r="N6" s="90" t="s">
        <v>148</v>
      </c>
      <c r="O6" s="91" t="s">
        <v>208</v>
      </c>
      <c r="P6" s="64"/>
    </row>
    <row r="7" spans="2:16" ht="30" x14ac:dyDescent="0.25">
      <c r="B7" s="115" t="s">
        <v>23</v>
      </c>
      <c r="C7" s="122">
        <v>5.8717253839205057E-2</v>
      </c>
      <c r="D7" s="122">
        <v>3.0881164106709783E-2</v>
      </c>
      <c r="E7" s="122">
        <v>3.9432176656151417E-2</v>
      </c>
      <c r="F7" s="122">
        <v>2.5011165698972757E-2</v>
      </c>
      <c r="G7" s="122">
        <v>4.2753850990254638E-2</v>
      </c>
      <c r="H7" s="123">
        <v>4.1242817620770374E-2</v>
      </c>
      <c r="I7" s="124">
        <v>3.5714285714285712E-2</v>
      </c>
      <c r="J7" s="124">
        <v>3.2192695620135402E-2</v>
      </c>
      <c r="K7" s="124">
        <v>3.2908502948449686E-2</v>
      </c>
      <c r="L7" s="124">
        <v>4.2999999999999997E-2</v>
      </c>
      <c r="M7" s="124">
        <v>4.0825806451612906E-2</v>
      </c>
      <c r="N7" s="90" t="s">
        <v>148</v>
      </c>
      <c r="O7" s="66">
        <v>2024</v>
      </c>
      <c r="P7" s="67"/>
    </row>
    <row r="8" spans="2:16" ht="30" x14ac:dyDescent="0.25">
      <c r="B8" s="125" t="s">
        <v>16</v>
      </c>
      <c r="C8" s="109">
        <v>6415</v>
      </c>
      <c r="D8" s="109">
        <v>6000</v>
      </c>
      <c r="E8" s="109">
        <v>2054</v>
      </c>
      <c r="F8" s="109">
        <v>4612</v>
      </c>
      <c r="G8" s="109">
        <v>4309</v>
      </c>
      <c r="H8" s="113">
        <v>23390</v>
      </c>
      <c r="I8" s="114">
        <v>22177</v>
      </c>
      <c r="J8" s="114">
        <v>21406</v>
      </c>
      <c r="K8" s="114">
        <v>20813</v>
      </c>
      <c r="L8" s="114">
        <v>20632</v>
      </c>
      <c r="M8" s="114">
        <v>19143</v>
      </c>
      <c r="N8" s="90" t="s">
        <v>148</v>
      </c>
      <c r="O8" s="91">
        <v>45689</v>
      </c>
      <c r="P8" s="131"/>
    </row>
    <row r="9" spans="2:16" ht="30" x14ac:dyDescent="0.25">
      <c r="B9" s="115" t="s">
        <v>38</v>
      </c>
      <c r="C9" s="116">
        <f>C8/C3</f>
        <v>0.18571056364531163</v>
      </c>
      <c r="D9" s="116">
        <f t="shared" ref="D9:H9" si="1">D8/D3</f>
        <v>0.20642675290717677</v>
      </c>
      <c r="E9" s="116">
        <f t="shared" si="1"/>
        <v>0.24663784822286264</v>
      </c>
      <c r="F9" s="116">
        <f t="shared" si="1"/>
        <v>0.2492972972972973</v>
      </c>
      <c r="G9" s="116">
        <f t="shared" si="1"/>
        <v>0.24098204798389353</v>
      </c>
      <c r="H9" s="117">
        <f t="shared" si="1"/>
        <v>0.21593825587621632</v>
      </c>
      <c r="I9" s="118">
        <v>0.21419809726179553</v>
      </c>
      <c r="J9" s="118">
        <v>0.21401933632609804</v>
      </c>
      <c r="K9" s="118">
        <v>0.21549340981332119</v>
      </c>
      <c r="L9" s="118">
        <v>0.21569631898633604</v>
      </c>
      <c r="M9" s="118">
        <v>0.22</v>
      </c>
      <c r="N9" s="90" t="s">
        <v>148</v>
      </c>
      <c r="O9" s="91">
        <v>45689</v>
      </c>
      <c r="P9" s="67" t="s">
        <v>45</v>
      </c>
    </row>
    <row r="10" spans="2:16" ht="30" x14ac:dyDescent="0.25">
      <c r="B10" s="115" t="s">
        <v>22</v>
      </c>
      <c r="C10" s="119">
        <v>3.0850731751911425E-2</v>
      </c>
      <c r="D10" s="119">
        <v>1.7046450831593288E-2</v>
      </c>
      <c r="E10" s="119">
        <v>2.5668686515797491E-2</v>
      </c>
      <c r="F10" s="119">
        <v>2.3091250657267071E-2</v>
      </c>
      <c r="G10" s="119">
        <v>2.990600006532872E-2</v>
      </c>
      <c r="H10" s="120">
        <v>2.5045932441916045E-2</v>
      </c>
      <c r="I10" s="121">
        <v>2.619190728370744E-2</v>
      </c>
      <c r="J10" s="121">
        <v>2.4851719589068309E-2</v>
      </c>
      <c r="K10" s="121">
        <v>2.6691058892237322E-2</v>
      </c>
      <c r="L10" s="121">
        <v>2.9000000000000001E-2</v>
      </c>
      <c r="M10" s="121">
        <v>3.2091995126748728E-2</v>
      </c>
      <c r="N10" s="90" t="s">
        <v>148</v>
      </c>
      <c r="O10" s="91" t="s">
        <v>208</v>
      </c>
      <c r="P10" s="132"/>
    </row>
    <row r="11" spans="2:16" ht="30" x14ac:dyDescent="0.25">
      <c r="B11" s="115" t="s">
        <v>23</v>
      </c>
      <c r="C11" s="122">
        <v>4.365514004068221E-2</v>
      </c>
      <c r="D11" s="122">
        <v>1.9859813084112148E-2</v>
      </c>
      <c r="E11" s="122">
        <v>3.6567528035104824E-2</v>
      </c>
      <c r="F11" s="122">
        <v>3.0448020878642887E-2</v>
      </c>
      <c r="G11" s="122">
        <v>4.0764034474726298E-2</v>
      </c>
      <c r="H11" s="123">
        <v>3.3783494105037511E-2</v>
      </c>
      <c r="I11" s="124">
        <v>3.3331825788069286E-2</v>
      </c>
      <c r="J11" s="124">
        <v>2.8319992510415205E-2</v>
      </c>
      <c r="K11" s="124">
        <v>2.7477022279967279E-2</v>
      </c>
      <c r="L11" s="124">
        <v>3.3000000000000002E-2</v>
      </c>
      <c r="M11" s="124">
        <v>3.8447474272580058E-2</v>
      </c>
      <c r="N11" s="90" t="s">
        <v>148</v>
      </c>
      <c r="O11" s="66">
        <v>2024</v>
      </c>
      <c r="P11" s="132"/>
    </row>
    <row r="12" spans="2:16" s="3" customFormat="1" ht="28.5" customHeight="1" x14ac:dyDescent="0.25">
      <c r="B12" s="126" t="s">
        <v>17</v>
      </c>
      <c r="C12" s="109">
        <v>7978</v>
      </c>
      <c r="D12" s="109">
        <v>4955</v>
      </c>
      <c r="E12" s="109">
        <v>999</v>
      </c>
      <c r="F12" s="109">
        <v>2776</v>
      </c>
      <c r="G12" s="109">
        <v>2855</v>
      </c>
      <c r="H12" s="113">
        <v>19563</v>
      </c>
      <c r="I12" s="114">
        <v>18623</v>
      </c>
      <c r="J12" s="114">
        <v>17842</v>
      </c>
      <c r="K12" s="114">
        <v>16947</v>
      </c>
      <c r="L12" s="114">
        <v>16789</v>
      </c>
      <c r="M12" s="114">
        <v>15607</v>
      </c>
      <c r="N12" s="90" t="s">
        <v>148</v>
      </c>
      <c r="O12" s="91">
        <v>45689</v>
      </c>
      <c r="P12" s="131"/>
    </row>
    <row r="13" spans="2:16" s="3" customFormat="1" ht="28.5" customHeight="1" x14ac:dyDescent="0.25">
      <c r="B13" s="115" t="s">
        <v>38</v>
      </c>
      <c r="C13" s="116">
        <f>C12/C3</f>
        <v>0.23095851547346785</v>
      </c>
      <c r="D13" s="116">
        <f t="shared" ref="D13:H13" si="2">D12/D3</f>
        <v>0.17047409344251016</v>
      </c>
      <c r="E13" s="116">
        <f t="shared" si="2"/>
        <v>0.11995677233429394</v>
      </c>
      <c r="F13" s="116">
        <f t="shared" si="2"/>
        <v>0.15005405405405406</v>
      </c>
      <c r="G13" s="116">
        <f>G12/G3</f>
        <v>0.15966668530842795</v>
      </c>
      <c r="H13" s="117">
        <f t="shared" si="2"/>
        <v>0.18060710131280119</v>
      </c>
      <c r="I13" s="118">
        <v>0.17987154102477423</v>
      </c>
      <c r="J13" s="118">
        <v>0.17838610663973845</v>
      </c>
      <c r="K13" s="118">
        <v>0.17546566165888408</v>
      </c>
      <c r="L13" s="118">
        <v>0.17551984778313279</v>
      </c>
      <c r="M13" s="118">
        <v>0.18</v>
      </c>
      <c r="N13" s="90" t="s">
        <v>148</v>
      </c>
      <c r="O13" s="91">
        <v>45689</v>
      </c>
      <c r="P13" s="67" t="s">
        <v>45</v>
      </c>
    </row>
    <row r="14" spans="2:16" s="3" customFormat="1" ht="30" x14ac:dyDescent="0.25">
      <c r="B14" s="115" t="s">
        <v>22</v>
      </c>
      <c r="C14" s="119">
        <v>4.3186387911332197E-2</v>
      </c>
      <c r="D14" s="119">
        <v>2.6608767673845408E-2</v>
      </c>
      <c r="E14" s="119">
        <v>2.9784600607594268E-2</v>
      </c>
      <c r="F14" s="119">
        <v>2.5485582918853333E-2</v>
      </c>
      <c r="G14" s="119">
        <v>3.8517073839422399E-2</v>
      </c>
      <c r="H14" s="120">
        <v>3.4902078964543955E-2</v>
      </c>
      <c r="I14" s="121">
        <v>4.0275751441317197E-2</v>
      </c>
      <c r="J14" s="121">
        <v>4.0422493711495817E-2</v>
      </c>
      <c r="K14" s="121">
        <v>4.4481633652398447E-2</v>
      </c>
      <c r="L14" s="121">
        <v>4.9000000000000002E-2</v>
      </c>
      <c r="M14" s="121">
        <v>5.3237143075194018E-2</v>
      </c>
      <c r="N14" s="90" t="s">
        <v>148</v>
      </c>
      <c r="O14" s="91" t="s">
        <v>208</v>
      </c>
      <c r="P14" s="64"/>
    </row>
    <row r="15" spans="2:16" s="3" customFormat="1" ht="30" x14ac:dyDescent="0.25">
      <c r="B15" s="115" t="s">
        <v>23</v>
      </c>
      <c r="C15" s="122">
        <v>5.7660833438247516E-2</v>
      </c>
      <c r="D15" s="122">
        <v>4.5730473492513156E-2</v>
      </c>
      <c r="E15" s="122">
        <v>3.0060120240480961E-2</v>
      </c>
      <c r="F15" s="122">
        <v>3.935018050541516E-2</v>
      </c>
      <c r="G15" s="122">
        <v>5.5555555555555552E-2</v>
      </c>
      <c r="H15" s="123">
        <v>5.0315433143560545E-2</v>
      </c>
      <c r="I15" s="124">
        <v>4.5158161340733957E-2</v>
      </c>
      <c r="J15" s="124">
        <v>4.405484378512025E-2</v>
      </c>
      <c r="K15" s="124">
        <v>4.0101733009995859E-2</v>
      </c>
      <c r="L15" s="124">
        <v>5.8000000000000003E-2</v>
      </c>
      <c r="M15" s="124">
        <v>5.945668887749872E-2</v>
      </c>
      <c r="N15" s="90" t="s">
        <v>148</v>
      </c>
      <c r="O15" s="66">
        <v>2024</v>
      </c>
      <c r="P15" s="64"/>
    </row>
    <row r="16" spans="2:16" s="3" customFormat="1" ht="28.5" customHeight="1" x14ac:dyDescent="0.25">
      <c r="B16" s="126" t="s">
        <v>18</v>
      </c>
      <c r="C16" s="109">
        <v>4312</v>
      </c>
      <c r="D16" s="109">
        <v>3823</v>
      </c>
      <c r="E16" s="109">
        <v>1124</v>
      </c>
      <c r="F16" s="109">
        <v>1934</v>
      </c>
      <c r="G16" s="109">
        <v>1929</v>
      </c>
      <c r="H16" s="113">
        <v>13122</v>
      </c>
      <c r="I16" s="114">
        <v>12465</v>
      </c>
      <c r="J16" s="114">
        <v>11882</v>
      </c>
      <c r="K16" s="114">
        <v>11374</v>
      </c>
      <c r="L16" s="114">
        <v>11228</v>
      </c>
      <c r="M16" s="114">
        <v>10494</v>
      </c>
      <c r="N16" s="90" t="s">
        <v>148</v>
      </c>
      <c r="O16" s="91">
        <v>45689</v>
      </c>
      <c r="P16" s="131"/>
    </row>
    <row r="17" spans="2:16" s="3" customFormat="1" ht="28.5" customHeight="1" x14ac:dyDescent="0.25">
      <c r="B17" s="115" t="s">
        <v>38</v>
      </c>
      <c r="C17" s="116">
        <f>C16/C3</f>
        <v>0.12482992212604579</v>
      </c>
      <c r="D17" s="116">
        <f t="shared" ref="D17:G17" si="3">D16/D3</f>
        <v>0.13152824606068947</v>
      </c>
      <c r="E17" s="116">
        <f t="shared" si="3"/>
        <v>0.13496637848222862</v>
      </c>
      <c r="F17" s="116">
        <f t="shared" si="3"/>
        <v>0.10454054054054054</v>
      </c>
      <c r="G17" s="116">
        <f t="shared" si="3"/>
        <v>0.10787987249035288</v>
      </c>
      <c r="H17" s="117">
        <f>H16/H3</f>
        <v>0.12114330028250152</v>
      </c>
      <c r="I17" s="118">
        <v>0.12039406963828657</v>
      </c>
      <c r="J17" s="118">
        <v>0.11879742848858717</v>
      </c>
      <c r="K17" s="118">
        <v>0.11776399573423894</v>
      </c>
      <c r="L17" s="118">
        <v>0.11738262260462295</v>
      </c>
      <c r="M17" s="118">
        <v>0.12</v>
      </c>
      <c r="N17" s="90" t="s">
        <v>148</v>
      </c>
      <c r="O17" s="91">
        <v>45689</v>
      </c>
      <c r="P17" s="67" t="s">
        <v>45</v>
      </c>
    </row>
    <row r="18" spans="2:16" s="3" customFormat="1" ht="30" x14ac:dyDescent="0.25">
      <c r="B18" s="115" t="s">
        <v>22</v>
      </c>
      <c r="C18" s="119">
        <v>4.4374135511407627E-2</v>
      </c>
      <c r="D18" s="119">
        <v>2.1840540913173209E-2</v>
      </c>
      <c r="E18" s="119">
        <v>3.9005283334481895E-2</v>
      </c>
      <c r="F18" s="119">
        <v>2.5062953789742999E-2</v>
      </c>
      <c r="G18" s="119">
        <v>4.4789660656517613E-2</v>
      </c>
      <c r="H18" s="120">
        <v>3.4172747041038676E-2</v>
      </c>
      <c r="I18" s="121">
        <v>3.7552107812673353E-2</v>
      </c>
      <c r="J18" s="121">
        <v>3.5990198796970171E-2</v>
      </c>
      <c r="K18" s="121">
        <v>3.6119150400206822E-2</v>
      </c>
      <c r="L18" s="121">
        <v>3.7999999999999999E-2</v>
      </c>
      <c r="M18" s="121">
        <v>3.8873430081702458E-2</v>
      </c>
      <c r="N18" s="90" t="s">
        <v>148</v>
      </c>
      <c r="O18" s="91" t="s">
        <v>208</v>
      </c>
      <c r="P18" s="64"/>
    </row>
    <row r="19" spans="2:16" s="3" customFormat="1" ht="30" x14ac:dyDescent="0.25">
      <c r="B19" s="115" t="s">
        <v>23</v>
      </c>
      <c r="C19" s="122">
        <v>4.4459962756052143E-2</v>
      </c>
      <c r="D19" s="122">
        <v>3.411178168459722E-2</v>
      </c>
      <c r="E19" s="122">
        <v>4.20017873100983E-2</v>
      </c>
      <c r="F19" s="122">
        <v>3.6213140196585621E-2</v>
      </c>
      <c r="G19" s="122">
        <v>6.6528066528066532E-2</v>
      </c>
      <c r="H19" s="123">
        <v>4.3262248719712605E-2</v>
      </c>
      <c r="I19" s="124">
        <v>5.1162040025823113E-2</v>
      </c>
      <c r="J19" s="124">
        <v>4.8846446378771231E-2</v>
      </c>
      <c r="K19" s="124">
        <v>3.8010406561425167E-2</v>
      </c>
      <c r="L19" s="124">
        <v>5.1999999999999998E-2</v>
      </c>
      <c r="M19" s="124">
        <v>5.5269677911187344E-2</v>
      </c>
      <c r="N19" s="90" t="s">
        <v>148</v>
      </c>
      <c r="O19" s="66">
        <v>2024</v>
      </c>
      <c r="P19" s="64"/>
    </row>
    <row r="20" spans="2:16" s="3" customFormat="1" ht="28.5" customHeight="1" x14ac:dyDescent="0.25">
      <c r="B20" s="112" t="s">
        <v>19</v>
      </c>
      <c r="C20" s="109">
        <v>2893</v>
      </c>
      <c r="D20" s="109">
        <v>2822</v>
      </c>
      <c r="E20" s="109">
        <v>816</v>
      </c>
      <c r="F20" s="109">
        <v>1168</v>
      </c>
      <c r="G20" s="109">
        <v>1153</v>
      </c>
      <c r="H20" s="113">
        <v>8852</v>
      </c>
      <c r="I20" s="114">
        <v>8525</v>
      </c>
      <c r="J20" s="114">
        <v>8343</v>
      </c>
      <c r="K20" s="114">
        <v>8213</v>
      </c>
      <c r="L20" s="114">
        <v>8153</v>
      </c>
      <c r="M20" s="114">
        <v>7729</v>
      </c>
      <c r="N20" s="90" t="s">
        <v>148</v>
      </c>
      <c r="O20" s="91">
        <v>45689</v>
      </c>
      <c r="P20" s="131"/>
    </row>
    <row r="21" spans="2:16" s="3" customFormat="1" ht="28.5" customHeight="1" x14ac:dyDescent="0.25">
      <c r="B21" s="115" t="s">
        <v>38</v>
      </c>
      <c r="C21" s="116">
        <f>C20/C3</f>
        <v>8.3750687548852149E-2</v>
      </c>
      <c r="D21" s="116">
        <f t="shared" ref="D21:G21" si="4">D20/D3</f>
        <v>9.7089382784008804E-2</v>
      </c>
      <c r="E21" s="116">
        <f t="shared" si="4"/>
        <v>9.7982708933717577E-2</v>
      </c>
      <c r="F21" s="116">
        <f t="shared" si="4"/>
        <v>6.3135135135135134E-2</v>
      </c>
      <c r="G21" s="116">
        <f t="shared" si="4"/>
        <v>6.4481852245400151E-2</v>
      </c>
      <c r="H21" s="117">
        <f>H20/H3</f>
        <v>8.1722336084491962E-2</v>
      </c>
      <c r="I21" s="118">
        <v>8.2339305548848218E-2</v>
      </c>
      <c r="J21" s="118">
        <v>8.3414151311250864E-2</v>
      </c>
      <c r="K21" s="118">
        <v>8.5035668802998454E-2</v>
      </c>
      <c r="L21" s="118">
        <v>8.5235172968960729E-2</v>
      </c>
      <c r="M21" s="118">
        <v>0.09</v>
      </c>
      <c r="N21" s="90" t="s">
        <v>148</v>
      </c>
      <c r="O21" s="91">
        <v>45689</v>
      </c>
      <c r="P21" s="67" t="s">
        <v>45</v>
      </c>
    </row>
    <row r="22" spans="2:16" s="3" customFormat="1" ht="30" x14ac:dyDescent="0.25">
      <c r="B22" s="115" t="s">
        <v>22</v>
      </c>
      <c r="C22" s="119">
        <v>2.6670146154025076E-2</v>
      </c>
      <c r="D22" s="119">
        <v>8.8976017193076549E-3</v>
      </c>
      <c r="E22" s="119">
        <v>1.73239077650328E-3</v>
      </c>
      <c r="F22" s="119">
        <v>2.2549745286691823E-2</v>
      </c>
      <c r="G22" s="119">
        <v>1.1167054989897961E-2</v>
      </c>
      <c r="H22" s="120">
        <v>1.5869489043598979E-2</v>
      </c>
      <c r="I22" s="121">
        <v>1.6791094317579452E-2</v>
      </c>
      <c r="J22" s="121">
        <v>1.4798823931437343E-2</v>
      </c>
      <c r="K22" s="121">
        <v>1.6731158697683591E-2</v>
      </c>
      <c r="L22" s="121">
        <v>1.7999999999999999E-2</v>
      </c>
      <c r="M22" s="121">
        <v>1.7058461884216121E-2</v>
      </c>
      <c r="N22" s="90" t="s">
        <v>148</v>
      </c>
      <c r="O22" s="91" t="s">
        <v>208</v>
      </c>
      <c r="P22" s="64"/>
    </row>
    <row r="23" spans="2:16" s="3" customFormat="1" ht="30" x14ac:dyDescent="0.25">
      <c r="B23" s="115" t="s">
        <v>23</v>
      </c>
      <c r="C23" s="122">
        <v>5.3744798890429955E-2</v>
      </c>
      <c r="D23" s="122">
        <v>1.276595744680851E-2</v>
      </c>
      <c r="E23" s="122">
        <v>1.3480392156862746E-2</v>
      </c>
      <c r="F23" s="122">
        <v>3.6051502145922745E-2</v>
      </c>
      <c r="G23" s="122">
        <v>1.5611448395490026E-2</v>
      </c>
      <c r="H23" s="123">
        <v>2.9644715999094819E-2</v>
      </c>
      <c r="I23" s="124">
        <v>2.6566357117667801E-2</v>
      </c>
      <c r="J23" s="124">
        <v>2.2224891878904373E-2</v>
      </c>
      <c r="K23" s="124">
        <v>2.0955165692007796E-2</v>
      </c>
      <c r="L23" s="124">
        <v>3.2000000000000001E-2</v>
      </c>
      <c r="M23" s="124">
        <v>3.0534351145038167E-2</v>
      </c>
      <c r="N23" s="90" t="s">
        <v>148</v>
      </c>
      <c r="O23" s="66">
        <v>2024</v>
      </c>
      <c r="P23" s="64"/>
    </row>
    <row r="24" spans="2:16" s="3" customFormat="1" ht="28.5" customHeight="1" x14ac:dyDescent="0.25">
      <c r="B24" s="112" t="s">
        <v>63</v>
      </c>
      <c r="C24" s="109">
        <v>2152</v>
      </c>
      <c r="D24" s="109">
        <v>2311</v>
      </c>
      <c r="E24" s="109">
        <v>497</v>
      </c>
      <c r="F24" s="109">
        <v>1362</v>
      </c>
      <c r="G24" s="109">
        <v>1021</v>
      </c>
      <c r="H24" s="113">
        <v>7343</v>
      </c>
      <c r="I24" s="114">
        <v>7187</v>
      </c>
      <c r="J24" s="114">
        <v>7004</v>
      </c>
      <c r="K24" s="114">
        <v>6833</v>
      </c>
      <c r="L24" s="114">
        <v>6785</v>
      </c>
      <c r="M24" s="114">
        <v>6261</v>
      </c>
      <c r="N24" s="90" t="s">
        <v>148</v>
      </c>
      <c r="O24" s="91">
        <v>45689</v>
      </c>
      <c r="P24" s="131"/>
    </row>
    <row r="25" spans="2:16" s="3" customFormat="1" ht="28.5" customHeight="1" x14ac:dyDescent="0.25">
      <c r="B25" s="115" t="s">
        <v>38</v>
      </c>
      <c r="C25" s="116">
        <f t="shared" ref="C25:H25" si="5">C24/C3</f>
        <v>6.229916336160727E-2</v>
      </c>
      <c r="D25" s="116">
        <f t="shared" si="5"/>
        <v>7.9508704328080923E-2</v>
      </c>
      <c r="E25" s="116">
        <f t="shared" si="5"/>
        <v>5.9678194044188282E-2</v>
      </c>
      <c r="F25" s="116">
        <f t="shared" si="5"/>
        <v>7.3621621621621627E-2</v>
      </c>
      <c r="G25" s="116">
        <f t="shared" si="5"/>
        <v>5.7099714781052517E-2</v>
      </c>
      <c r="H25" s="117">
        <f t="shared" si="5"/>
        <v>6.7791133514282023E-2</v>
      </c>
      <c r="I25" s="118">
        <v>6.9416139469744537E-2</v>
      </c>
      <c r="J25" s="118">
        <v>7.0026694927963692E-2</v>
      </c>
      <c r="K25" s="118">
        <v>7.0747440025677399E-2</v>
      </c>
      <c r="L25" s="118">
        <v>7.0933478301778305E-2</v>
      </c>
      <c r="M25" s="118">
        <v>6.5455343794758133E-2</v>
      </c>
      <c r="N25" s="90" t="s">
        <v>148</v>
      </c>
      <c r="O25" s="91">
        <v>45689</v>
      </c>
      <c r="P25" s="67" t="s">
        <v>45</v>
      </c>
    </row>
    <row r="26" spans="2:16" s="3" customFormat="1" ht="30" x14ac:dyDescent="0.25">
      <c r="B26" s="115" t="s">
        <v>22</v>
      </c>
      <c r="C26" s="119">
        <v>3.1638128038867688E-2</v>
      </c>
      <c r="D26" s="119">
        <v>1.1953727877086472E-2</v>
      </c>
      <c r="E26" s="119">
        <v>1.3928169198911693E-2</v>
      </c>
      <c r="F26" s="119">
        <v>7.3939486789644047E-3</v>
      </c>
      <c r="G26" s="119">
        <v>1.9212892792111393E-2</v>
      </c>
      <c r="H26" s="120">
        <v>1.7709130212302918E-2</v>
      </c>
      <c r="I26" s="121">
        <v>2.1484930770716303E-2</v>
      </c>
      <c r="J26" s="121">
        <v>1.8850473279894416E-2</v>
      </c>
      <c r="K26" s="121">
        <v>2.1068498215574501E-2</v>
      </c>
      <c r="L26" s="121">
        <v>2.1000000000000001E-2</v>
      </c>
      <c r="M26" s="121">
        <v>2.3624681445416885E-2</v>
      </c>
      <c r="N26" s="90" t="s">
        <v>148</v>
      </c>
      <c r="O26" s="91" t="s">
        <v>208</v>
      </c>
      <c r="P26" s="64"/>
    </row>
    <row r="27" spans="2:16" s="3" customFormat="1" ht="30" x14ac:dyDescent="0.25">
      <c r="B27" s="115" t="s">
        <v>23</v>
      </c>
      <c r="C27" s="122">
        <v>4.0111940298507461E-2</v>
      </c>
      <c r="D27" s="122">
        <v>2.2501081782778019E-2</v>
      </c>
      <c r="E27" s="122">
        <v>2.4242424242424242E-2</v>
      </c>
      <c r="F27" s="122">
        <v>2.2727272727272728E-2</v>
      </c>
      <c r="G27" s="122">
        <v>3.7364798426745331E-2</v>
      </c>
      <c r="H27" s="123">
        <v>2.9873141454099032E-2</v>
      </c>
      <c r="I27" s="124">
        <v>3.235253102775066E-2</v>
      </c>
      <c r="J27" s="124">
        <v>3.0758226037195996E-2</v>
      </c>
      <c r="K27" s="124">
        <v>3.1666911010115817E-2</v>
      </c>
      <c r="L27" s="124">
        <v>4.3124101581217059E-2</v>
      </c>
      <c r="M27" s="124">
        <v>4.3124101581217059E-2</v>
      </c>
      <c r="N27" s="90" t="s">
        <v>148</v>
      </c>
      <c r="O27" s="66">
        <v>2024</v>
      </c>
      <c r="P27" s="64"/>
    </row>
    <row r="28" spans="2:16" s="3" customFormat="1" ht="28.5" customHeight="1" x14ac:dyDescent="0.25">
      <c r="B28" s="112" t="s">
        <v>64</v>
      </c>
      <c r="C28" s="109">
        <v>1611</v>
      </c>
      <c r="D28" s="109">
        <v>1522</v>
      </c>
      <c r="E28" s="109">
        <v>498</v>
      </c>
      <c r="F28" s="109">
        <v>1018</v>
      </c>
      <c r="G28" s="109">
        <v>893</v>
      </c>
      <c r="H28" s="113">
        <v>5542</v>
      </c>
      <c r="I28" s="114">
        <v>5218</v>
      </c>
      <c r="J28" s="114">
        <v>4996</v>
      </c>
      <c r="K28" s="114">
        <v>4729</v>
      </c>
      <c r="L28" s="114">
        <v>4642</v>
      </c>
      <c r="M28" s="114">
        <v>4107</v>
      </c>
      <c r="N28" s="90" t="s">
        <v>148</v>
      </c>
      <c r="O28" s="91">
        <v>45689</v>
      </c>
      <c r="P28" s="131"/>
    </row>
    <row r="29" spans="2:16" s="3" customFormat="1" ht="28.5" customHeight="1" x14ac:dyDescent="0.25">
      <c r="B29" s="115" t="s">
        <v>38</v>
      </c>
      <c r="C29" s="116">
        <f t="shared" ref="C29:G29" si="6">C28/C3</f>
        <v>4.6637524245143731E-2</v>
      </c>
      <c r="D29" s="116">
        <f t="shared" si="6"/>
        <v>5.2363586320787171E-2</v>
      </c>
      <c r="E29" s="116">
        <f>E28/E3</f>
        <v>5.9798270893371759E-2</v>
      </c>
      <c r="F29" s="116">
        <f t="shared" si="6"/>
        <v>5.5027027027027026E-2</v>
      </c>
      <c r="G29" s="116">
        <f t="shared" si="6"/>
        <v>4.9941278451988147E-2</v>
      </c>
      <c r="H29" s="117">
        <f>H28/H3</f>
        <v>5.1164164774091102E-2</v>
      </c>
      <c r="I29" s="118">
        <v>5.0398415994591203E-2</v>
      </c>
      <c r="J29" s="118">
        <v>4.995050940321339E-2</v>
      </c>
      <c r="K29" s="118">
        <v>4.8963068034747315E-2</v>
      </c>
      <c r="L29" s="118">
        <v>4.852958088089239E-2</v>
      </c>
      <c r="M29" s="118">
        <v>0.05</v>
      </c>
      <c r="N29" s="90" t="s">
        <v>148</v>
      </c>
      <c r="O29" s="91">
        <v>45689</v>
      </c>
      <c r="P29" s="67" t="s">
        <v>45</v>
      </c>
    </row>
    <row r="30" spans="2:16" s="3" customFormat="1" ht="30" x14ac:dyDescent="0.25">
      <c r="B30" s="115" t="s">
        <v>22</v>
      </c>
      <c r="C30" s="119">
        <v>5.4440316758866313E-2</v>
      </c>
      <c r="D30" s="119">
        <v>2.7647656343474335E-2</v>
      </c>
      <c r="E30" s="119">
        <v>3.4512391538983E-2</v>
      </c>
      <c r="F30" s="119">
        <v>3.4917346216058597E-2</v>
      </c>
      <c r="G30" s="119">
        <v>5.4685326046241156E-2</v>
      </c>
      <c r="H30" s="120">
        <v>4.1253413606395548E-2</v>
      </c>
      <c r="I30" s="121">
        <v>4.5101757923414844E-2</v>
      </c>
      <c r="J30" s="121">
        <v>4.2361492864723384E-2</v>
      </c>
      <c r="K30" s="121">
        <v>4.2816571361423125E-2</v>
      </c>
      <c r="L30" s="121">
        <v>3.7999999999999999E-2</v>
      </c>
      <c r="M30" s="121">
        <v>3.9673675974517889E-2</v>
      </c>
      <c r="N30" s="90" t="s">
        <v>148</v>
      </c>
      <c r="O30" s="91" t="s">
        <v>208</v>
      </c>
      <c r="P30" s="64"/>
    </row>
    <row r="31" spans="2:16" s="3" customFormat="1" ht="30" x14ac:dyDescent="0.25">
      <c r="B31" s="115" t="s">
        <v>23</v>
      </c>
      <c r="C31" s="122">
        <v>4.6758104738154616E-2</v>
      </c>
      <c r="D31" s="122">
        <v>3.4868421052631576E-2</v>
      </c>
      <c r="E31" s="122">
        <v>5.030181086519115E-2</v>
      </c>
      <c r="F31" s="122">
        <v>2.6548672566371681E-2</v>
      </c>
      <c r="G31" s="122">
        <v>4.6538024971623154E-2</v>
      </c>
      <c r="H31" s="123">
        <v>4.0043486138793258E-2</v>
      </c>
      <c r="I31" s="124">
        <v>4.6251686259394874E-2</v>
      </c>
      <c r="J31" s="124">
        <v>5.3097345132743362E-2</v>
      </c>
      <c r="K31" s="124">
        <v>5.7124654916118074E-2</v>
      </c>
      <c r="L31" s="124">
        <v>5.5E-2</v>
      </c>
      <c r="M31" s="124">
        <v>5.3323593864134405E-2</v>
      </c>
      <c r="N31" s="90" t="s">
        <v>148</v>
      </c>
      <c r="O31" s="66">
        <v>2024</v>
      </c>
      <c r="P31" s="64"/>
    </row>
    <row r="32" spans="2:16" s="3" customFormat="1" ht="28.5" customHeight="1" x14ac:dyDescent="0.25">
      <c r="B32" s="112" t="s">
        <v>20</v>
      </c>
      <c r="C32" s="109">
        <v>1394</v>
      </c>
      <c r="D32" s="109">
        <v>1428</v>
      </c>
      <c r="E32" s="109">
        <v>436</v>
      </c>
      <c r="F32" s="109">
        <v>1130</v>
      </c>
      <c r="G32" s="109">
        <v>2511</v>
      </c>
      <c r="H32" s="113">
        <v>6899</v>
      </c>
      <c r="I32" s="114">
        <v>6864</v>
      </c>
      <c r="J32" s="114">
        <v>6750</v>
      </c>
      <c r="K32" s="114">
        <v>6614</v>
      </c>
      <c r="L32" s="114">
        <v>6528</v>
      </c>
      <c r="M32" s="114">
        <v>6250</v>
      </c>
      <c r="N32" s="90" t="s">
        <v>148</v>
      </c>
      <c r="O32" s="91">
        <v>45689</v>
      </c>
      <c r="P32" s="131"/>
    </row>
    <row r="33" spans="2:16" s="3" customFormat="1" ht="28.5" customHeight="1" x14ac:dyDescent="0.25">
      <c r="B33" s="115" t="s">
        <v>38</v>
      </c>
      <c r="C33" s="116">
        <f t="shared" ref="C33:H33" si="7">C32/C3</f>
        <v>4.0355498943345974E-2</v>
      </c>
      <c r="D33" s="116">
        <f t="shared" si="7"/>
        <v>4.9129567191908072E-2</v>
      </c>
      <c r="E33" s="116">
        <f t="shared" si="7"/>
        <v>5.2353506243996158E-2</v>
      </c>
      <c r="F33" s="116">
        <f t="shared" si="7"/>
        <v>6.1081081081081082E-2</v>
      </c>
      <c r="G33" s="116">
        <f t="shared" si="7"/>
        <v>0.14042838767406746</v>
      </c>
      <c r="H33" s="117">
        <f t="shared" si="7"/>
        <v>6.3692091803762993E-2</v>
      </c>
      <c r="I33" s="118">
        <v>6.6296421499975847E-2</v>
      </c>
      <c r="J33" s="118">
        <v>6.7487177436287099E-2</v>
      </c>
      <c r="K33" s="118">
        <v>6.8479960241450352E-2</v>
      </c>
      <c r="L33" s="118">
        <v>6.824668332409857E-2</v>
      </c>
      <c r="M33" s="118">
        <v>6.5340344787931381E-2</v>
      </c>
      <c r="N33" s="90" t="s">
        <v>148</v>
      </c>
      <c r="O33" s="91">
        <v>45689</v>
      </c>
      <c r="P33" s="67" t="s">
        <v>45</v>
      </c>
    </row>
    <row r="34" spans="2:16" s="3" customFormat="1" ht="30" x14ac:dyDescent="0.25">
      <c r="B34" s="115" t="s">
        <v>22</v>
      </c>
      <c r="C34" s="119">
        <v>1.9919046317178991E-2</v>
      </c>
      <c r="D34" s="119">
        <v>1.1549633704928623E-2</v>
      </c>
      <c r="E34" s="119">
        <v>1.0472727092064701E-2</v>
      </c>
      <c r="F34" s="119">
        <v>1.5644392520535212E-2</v>
      </c>
      <c r="G34" s="119">
        <v>2.8965620524605898E-3</v>
      </c>
      <c r="H34" s="120">
        <v>1.054227020836781E-2</v>
      </c>
      <c r="I34" s="121">
        <v>1.2914821874582516E-2</v>
      </c>
      <c r="J34" s="121">
        <v>1.3215536700879474E-2</v>
      </c>
      <c r="K34" s="121">
        <v>1.2580719851166489E-2</v>
      </c>
      <c r="L34" s="121">
        <v>1.7000000000000001E-2</v>
      </c>
      <c r="M34" s="121">
        <v>1.9698259506342422E-2</v>
      </c>
      <c r="N34" s="90" t="s">
        <v>148</v>
      </c>
      <c r="O34" s="91" t="s">
        <v>208</v>
      </c>
      <c r="P34" s="64"/>
    </row>
    <row r="35" spans="2:16" s="3" customFormat="1" ht="30" x14ac:dyDescent="0.25">
      <c r="B35" s="127" t="s">
        <v>23</v>
      </c>
      <c r="C35" s="128">
        <v>3.4482758620689655E-2</v>
      </c>
      <c r="D35" s="128">
        <v>1.330532212885154E-2</v>
      </c>
      <c r="E35" s="128">
        <v>1.8390804597701149E-2</v>
      </c>
      <c r="F35" s="128">
        <v>2.8343666961913198E-2</v>
      </c>
      <c r="G35" s="128">
        <v>1.0761259465922678E-2</v>
      </c>
      <c r="H35" s="129">
        <v>1.9440011605977078E-2</v>
      </c>
      <c r="I35" s="130">
        <v>1.8661612479953345E-2</v>
      </c>
      <c r="J35" s="130">
        <v>2.4477080551846907E-2</v>
      </c>
      <c r="K35" s="130">
        <v>1.7348957540709177E-2</v>
      </c>
      <c r="L35" s="130">
        <v>2.4E-2</v>
      </c>
      <c r="M35" s="130">
        <v>1.7919999999999998E-2</v>
      </c>
      <c r="N35" s="94" t="s">
        <v>148</v>
      </c>
      <c r="O35" s="68">
        <v>2024</v>
      </c>
      <c r="P35" s="69"/>
    </row>
    <row r="36" spans="2:16" s="3" customFormat="1" ht="6.4" customHeight="1" x14ac:dyDescent="0.25">
      <c r="B36" s="12"/>
      <c r="C36" s="13"/>
      <c r="D36" s="13"/>
      <c r="E36" s="13"/>
      <c r="F36" s="13"/>
      <c r="G36" s="13"/>
      <c r="H36" s="13"/>
      <c r="I36" s="13"/>
      <c r="J36" s="13"/>
      <c r="K36" s="13"/>
      <c r="L36" s="13"/>
      <c r="M36" s="13"/>
      <c r="N36" s="14"/>
      <c r="O36" s="15"/>
      <c r="P36" s="16"/>
    </row>
    <row r="37" spans="2:16" s="3" customFormat="1" ht="27.75" customHeight="1" x14ac:dyDescent="0.25">
      <c r="N37" s="4"/>
      <c r="O37" s="8"/>
      <c r="P37" s="11"/>
    </row>
    <row r="38" spans="2:16" s="3" customFormat="1" ht="29.25" customHeight="1" x14ac:dyDescent="0.25">
      <c r="B38" s="2"/>
      <c r="N38" s="4"/>
      <c r="O38" s="8"/>
      <c r="P38" s="11"/>
    </row>
    <row r="39" spans="2:16" s="3" customFormat="1" ht="29.25" customHeight="1" x14ac:dyDescent="0.25">
      <c r="B39" s="2"/>
      <c r="N39" s="4"/>
      <c r="O39" s="8"/>
      <c r="P39" s="11"/>
    </row>
    <row r="40" spans="2:16" s="3" customFormat="1" ht="28.5" customHeight="1" x14ac:dyDescent="0.25">
      <c r="B40" s="2"/>
      <c r="N40" s="4"/>
      <c r="O40" s="8"/>
      <c r="P40" s="11"/>
    </row>
    <row r="41" spans="2:16" s="3" customFormat="1" ht="29.25" customHeight="1" x14ac:dyDescent="0.25">
      <c r="N41" s="4"/>
      <c r="O41" s="8"/>
      <c r="P41" s="11"/>
    </row>
    <row r="42" spans="2:16" s="3" customFormat="1" ht="29.25" customHeight="1" x14ac:dyDescent="0.25">
      <c r="B42" s="2"/>
      <c r="N42" s="4"/>
      <c r="O42" s="8"/>
      <c r="P42" s="11"/>
    </row>
    <row r="43" spans="2:16" s="3" customFormat="1" ht="29.25" customHeight="1" x14ac:dyDescent="0.25">
      <c r="B43" s="2"/>
      <c r="N43" s="4"/>
      <c r="O43" s="8"/>
      <c r="P43" s="11"/>
    </row>
    <row r="44" spans="2:16" s="3" customFormat="1" ht="29.25" customHeight="1" x14ac:dyDescent="0.25">
      <c r="B44" s="2"/>
      <c r="N44" s="4"/>
      <c r="O44" s="8"/>
      <c r="P44" s="11"/>
    </row>
    <row r="45" spans="2:16" s="3" customFormat="1" ht="28.5" customHeight="1" x14ac:dyDescent="0.25">
      <c r="N45" s="4"/>
      <c r="O45" s="8"/>
      <c r="P45" s="11"/>
    </row>
    <row r="46" spans="2:16" s="3" customFormat="1" ht="28.5" customHeight="1" x14ac:dyDescent="0.25">
      <c r="B46" s="2"/>
      <c r="N46" s="4"/>
      <c r="O46" s="8"/>
      <c r="P46" s="11"/>
    </row>
    <row r="47" spans="2:16" s="3" customFormat="1" ht="28.5" customHeight="1" x14ac:dyDescent="0.25">
      <c r="B47" s="2"/>
      <c r="N47" s="4"/>
      <c r="O47" s="8"/>
      <c r="P47" s="11"/>
    </row>
    <row r="48" spans="2:16" s="3" customFormat="1" ht="29.25" customHeight="1" x14ac:dyDescent="0.25">
      <c r="N48" s="1"/>
      <c r="O48" s="6"/>
      <c r="P48" s="11"/>
    </row>
  </sheetData>
  <pageMargins left="0.70866141732283472" right="0.70866141732283472" top="0.74803149606299213" bottom="0.74803149606299213" header="0.31496062992125984" footer="0.31496062992125984"/>
  <pageSetup paperSize="9" scale="72"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P52"/>
  <sheetViews>
    <sheetView showGridLines="0" workbookViewId="0">
      <pane ySplit="2" topLeftCell="A3" activePane="bottomLeft" state="frozen"/>
      <selection pane="bottomLeft" activeCell="G26" sqref="G26"/>
    </sheetView>
  </sheetViews>
  <sheetFormatPr baseColWidth="10" defaultRowHeight="15" x14ac:dyDescent="0.25"/>
  <cols>
    <col min="1" max="1" width="3.28515625" customWidth="1"/>
    <col min="2" max="2" width="50" customWidth="1"/>
    <col min="3" max="7" width="10.140625" customWidth="1"/>
    <col min="8" max="8" width="11.85546875" customWidth="1"/>
    <col min="9" max="13" width="10.28515625" customWidth="1"/>
    <col min="14" max="14" width="27.42578125" style="1" customWidth="1"/>
    <col min="15" max="15" width="11.42578125" style="6"/>
    <col min="16" max="16" width="25.140625" style="11" customWidth="1"/>
  </cols>
  <sheetData>
    <row r="1" spans="2:16" x14ac:dyDescent="0.25">
      <c r="B1" s="29"/>
    </row>
    <row r="2" spans="2:16" ht="60" x14ac:dyDescent="0.25">
      <c r="B2" s="9" t="s">
        <v>2</v>
      </c>
      <c r="C2" s="5">
        <v>44</v>
      </c>
      <c r="D2" s="5">
        <v>49</v>
      </c>
      <c r="E2" s="5">
        <v>53</v>
      </c>
      <c r="F2" s="5">
        <v>72</v>
      </c>
      <c r="G2" s="5">
        <v>85</v>
      </c>
      <c r="H2" s="30" t="s">
        <v>12</v>
      </c>
      <c r="I2" s="97" t="s">
        <v>204</v>
      </c>
      <c r="J2" s="97" t="s">
        <v>195</v>
      </c>
      <c r="K2" s="97" t="s">
        <v>187</v>
      </c>
      <c r="L2" s="97" t="s">
        <v>151</v>
      </c>
      <c r="M2" s="97" t="s">
        <v>120</v>
      </c>
      <c r="N2" s="10" t="s">
        <v>0</v>
      </c>
      <c r="O2" s="10" t="s">
        <v>24</v>
      </c>
      <c r="P2" s="10" t="s">
        <v>1</v>
      </c>
    </row>
    <row r="3" spans="2:16" ht="30" x14ac:dyDescent="0.25">
      <c r="B3" s="111" t="s">
        <v>37</v>
      </c>
      <c r="C3" s="70">
        <v>34543</v>
      </c>
      <c r="D3" s="70">
        <v>29066</v>
      </c>
      <c r="E3" s="70">
        <v>8328</v>
      </c>
      <c r="F3" s="70">
        <v>18500</v>
      </c>
      <c r="G3" s="70">
        <v>17881</v>
      </c>
      <c r="H3" s="71">
        <v>108318</v>
      </c>
      <c r="I3" s="98">
        <v>103535</v>
      </c>
      <c r="J3" s="98">
        <v>100019</v>
      </c>
      <c r="K3" s="98">
        <f>'Compléments-Objet'!K3</f>
        <v>96583</v>
      </c>
      <c r="L3" s="98">
        <f>'Compléments-Objet'!L3</f>
        <v>95653</v>
      </c>
      <c r="M3" s="98">
        <f>'Démographie des asso'!M3</f>
        <v>88994</v>
      </c>
      <c r="N3" s="87" t="s">
        <v>148</v>
      </c>
      <c r="O3" s="88">
        <v>45689</v>
      </c>
      <c r="P3" s="61"/>
    </row>
    <row r="4" spans="2:16" ht="28.5" customHeight="1" x14ac:dyDescent="0.25">
      <c r="B4" s="133" t="s">
        <v>58</v>
      </c>
      <c r="C4" s="134"/>
      <c r="D4" s="134"/>
      <c r="E4" s="134"/>
      <c r="F4" s="134"/>
      <c r="G4" s="134"/>
      <c r="H4" s="134"/>
      <c r="I4" s="135"/>
      <c r="J4" s="135"/>
      <c r="K4" s="135"/>
      <c r="L4" s="135"/>
      <c r="M4" s="135"/>
      <c r="N4" s="142"/>
      <c r="O4" s="143"/>
      <c r="P4" s="144"/>
    </row>
    <row r="5" spans="2:16" ht="29.1" customHeight="1" x14ac:dyDescent="0.25">
      <c r="B5" s="112" t="s">
        <v>46</v>
      </c>
      <c r="C5" s="136">
        <v>21707</v>
      </c>
      <c r="D5" s="136">
        <v>13800</v>
      </c>
      <c r="E5" s="136">
        <v>2336</v>
      </c>
      <c r="F5" s="136">
        <v>8596</v>
      </c>
      <c r="G5" s="136">
        <v>4909</v>
      </c>
      <c r="H5" s="82">
        <v>51348</v>
      </c>
      <c r="I5" s="103">
        <v>49194</v>
      </c>
      <c r="J5" s="103">
        <v>47591</v>
      </c>
      <c r="K5" s="103">
        <v>45769</v>
      </c>
      <c r="L5" s="103">
        <v>45336</v>
      </c>
      <c r="M5" s="103">
        <v>42368</v>
      </c>
      <c r="N5" s="87" t="s">
        <v>148</v>
      </c>
      <c r="O5" s="91">
        <v>45689</v>
      </c>
      <c r="P5" s="331" t="s">
        <v>55</v>
      </c>
    </row>
    <row r="6" spans="2:16" ht="29.1" customHeight="1" x14ac:dyDescent="0.25">
      <c r="B6" s="115" t="s">
        <v>38</v>
      </c>
      <c r="C6" s="116">
        <f>C5/C3</f>
        <v>0.62840517615725333</v>
      </c>
      <c r="D6" s="116">
        <f t="shared" ref="D6:H6" si="0">D5/D3</f>
        <v>0.47478153168650655</v>
      </c>
      <c r="E6" s="116">
        <f t="shared" si="0"/>
        <v>0.28049951969260328</v>
      </c>
      <c r="F6" s="116">
        <f t="shared" si="0"/>
        <v>0.46464864864864863</v>
      </c>
      <c r="G6" s="116">
        <f t="shared" si="0"/>
        <v>0.27453721827638278</v>
      </c>
      <c r="H6" s="157">
        <f t="shared" si="0"/>
        <v>0.47404863457597074</v>
      </c>
      <c r="I6" s="158">
        <v>0.47514367122229195</v>
      </c>
      <c r="J6" s="158">
        <v>0.47581959427708737</v>
      </c>
      <c r="K6" s="158">
        <v>0.45760305541947033</v>
      </c>
      <c r="L6" s="158">
        <v>0.46939937670190407</v>
      </c>
      <c r="M6" s="158">
        <v>0.48</v>
      </c>
      <c r="N6" s="87" t="s">
        <v>148</v>
      </c>
      <c r="O6" s="91">
        <v>45689</v>
      </c>
      <c r="P6" s="332"/>
    </row>
    <row r="7" spans="2:16" ht="29.1" customHeight="1" x14ac:dyDescent="0.25">
      <c r="B7" s="164" t="s">
        <v>146</v>
      </c>
      <c r="C7" s="165">
        <v>25.137313166662228</v>
      </c>
      <c r="D7" s="165">
        <v>42.664358256944546</v>
      </c>
      <c r="E7" s="165">
        <v>28.176489035775457</v>
      </c>
      <c r="F7" s="165">
        <v>35.317947811938915</v>
      </c>
      <c r="G7" s="165">
        <v>29.228241066006166</v>
      </c>
      <c r="H7" s="166">
        <v>30.541724833025128</v>
      </c>
      <c r="I7" s="193">
        <v>29.904549085307661</v>
      </c>
      <c r="J7" s="193">
        <v>29.207002659812769</v>
      </c>
      <c r="K7" s="193">
        <v>28.088825717824182</v>
      </c>
      <c r="L7" s="193">
        <v>28.1</v>
      </c>
      <c r="M7" s="193">
        <v>26.5</v>
      </c>
      <c r="N7" s="90" t="s">
        <v>188</v>
      </c>
      <c r="O7" s="91">
        <v>45689</v>
      </c>
      <c r="P7" s="332"/>
    </row>
    <row r="8" spans="2:16" ht="29.1" customHeight="1" x14ac:dyDescent="0.25">
      <c r="B8" s="112" t="s">
        <v>47</v>
      </c>
      <c r="C8" s="136">
        <v>8072</v>
      </c>
      <c r="D8" s="136">
        <v>8461</v>
      </c>
      <c r="E8" s="136">
        <v>1582</v>
      </c>
      <c r="F8" s="136">
        <v>4678</v>
      </c>
      <c r="G8" s="136">
        <v>2355</v>
      </c>
      <c r="H8" s="82">
        <v>25148</v>
      </c>
      <c r="I8" s="103">
        <v>23931</v>
      </c>
      <c r="J8" s="103">
        <v>23153</v>
      </c>
      <c r="K8" s="103">
        <v>22399</v>
      </c>
      <c r="L8" s="103">
        <v>22164</v>
      </c>
      <c r="M8" s="103">
        <v>20605</v>
      </c>
      <c r="N8" s="87" t="s">
        <v>148</v>
      </c>
      <c r="O8" s="91">
        <v>45689</v>
      </c>
      <c r="P8" s="332"/>
    </row>
    <row r="9" spans="2:16" s="3" customFormat="1" ht="29.1" customHeight="1" x14ac:dyDescent="0.25">
      <c r="B9" s="115" t="s">
        <v>38</v>
      </c>
      <c r="C9" s="116">
        <f t="shared" ref="C9:H9" si="1">C8/C3</f>
        <v>0.23367976145673508</v>
      </c>
      <c r="D9" s="116">
        <f t="shared" si="1"/>
        <v>0.29109612605793711</v>
      </c>
      <c r="E9" s="116">
        <f t="shared" si="1"/>
        <v>0.18996157540826128</v>
      </c>
      <c r="F9" s="116">
        <f t="shared" si="1"/>
        <v>0.25286486486486487</v>
      </c>
      <c r="G9" s="116">
        <f>G8/G3</f>
        <v>0.13170404339802025</v>
      </c>
      <c r="H9" s="117">
        <f t="shared" si="1"/>
        <v>0.23216824535164976</v>
      </c>
      <c r="I9" s="118">
        <v>0.23113922828029168</v>
      </c>
      <c r="J9" s="118">
        <v>0.23148601765664523</v>
      </c>
      <c r="K9" s="118">
        <v>0.22394744998450294</v>
      </c>
      <c r="L9" s="118">
        <v>0.22948137871053911</v>
      </c>
      <c r="M9" s="118">
        <v>0.23</v>
      </c>
      <c r="N9" s="87" t="s">
        <v>148</v>
      </c>
      <c r="O9" s="91">
        <v>45689</v>
      </c>
      <c r="P9" s="332"/>
    </row>
    <row r="10" spans="2:16" s="3" customFormat="1" ht="29.1" customHeight="1" x14ac:dyDescent="0.25">
      <c r="B10" s="164" t="s">
        <v>146</v>
      </c>
      <c r="C10" s="165">
        <v>20.453410971156941</v>
      </c>
      <c r="D10" s="165">
        <v>31.165281706742103</v>
      </c>
      <c r="E10" s="165">
        <v>21.925022520961818</v>
      </c>
      <c r="F10" s="165">
        <v>27.329395750448384</v>
      </c>
      <c r="G10" s="165">
        <v>23.636272394238972</v>
      </c>
      <c r="H10" s="166">
        <v>24.9211675331136</v>
      </c>
      <c r="I10" s="192">
        <v>23.770832133087257</v>
      </c>
      <c r="J10" s="192">
        <v>23.156001696366413</v>
      </c>
      <c r="K10" s="192">
        <v>22.403839229273522</v>
      </c>
      <c r="L10" s="192">
        <v>22.3</v>
      </c>
      <c r="M10" s="192">
        <v>20.8</v>
      </c>
      <c r="N10" s="90" t="s">
        <v>188</v>
      </c>
      <c r="O10" s="91">
        <v>45689</v>
      </c>
      <c r="P10" s="332"/>
    </row>
    <row r="11" spans="2:16" s="3" customFormat="1" ht="29.1" customHeight="1" x14ac:dyDescent="0.25">
      <c r="B11" s="126" t="s">
        <v>48</v>
      </c>
      <c r="C11" s="136">
        <v>1419</v>
      </c>
      <c r="D11" s="136">
        <v>698</v>
      </c>
      <c r="E11" s="136">
        <v>369</v>
      </c>
      <c r="F11" s="136">
        <v>1308</v>
      </c>
      <c r="G11" s="136">
        <v>1923</v>
      </c>
      <c r="H11" s="82">
        <v>5717</v>
      </c>
      <c r="I11" s="103">
        <v>5393</v>
      </c>
      <c r="J11" s="103">
        <v>5173</v>
      </c>
      <c r="K11" s="103">
        <v>5040</v>
      </c>
      <c r="L11" s="103">
        <v>4997</v>
      </c>
      <c r="M11" s="103">
        <v>4750</v>
      </c>
      <c r="N11" s="87" t="s">
        <v>148</v>
      </c>
      <c r="O11" s="91">
        <v>45689</v>
      </c>
      <c r="P11" s="332"/>
    </row>
    <row r="12" spans="2:16" s="3" customFormat="1" ht="29.1" customHeight="1" x14ac:dyDescent="0.25">
      <c r="B12" s="115" t="s">
        <v>38</v>
      </c>
      <c r="C12" s="116">
        <f t="shared" ref="C12:G12" si="2">C11/C3</f>
        <v>4.1079234577193639E-2</v>
      </c>
      <c r="D12" s="116">
        <f t="shared" si="2"/>
        <v>2.401431225486823E-2</v>
      </c>
      <c r="E12" s="116">
        <f t="shared" si="2"/>
        <v>4.430835734870317E-2</v>
      </c>
      <c r="F12" s="116">
        <f t="shared" si="2"/>
        <v>7.0702702702702708E-2</v>
      </c>
      <c r="G12" s="116">
        <f t="shared" si="2"/>
        <v>0.107544320787428</v>
      </c>
      <c r="H12" s="117">
        <f>H11/H3</f>
        <v>5.2779778060894775E-2</v>
      </c>
      <c r="I12" s="118">
        <v>5.2088665668614476E-2</v>
      </c>
      <c r="J12" s="118">
        <v>5.1720173167098253E-2</v>
      </c>
      <c r="K12" s="118">
        <v>5.0390425819094371E-2</v>
      </c>
      <c r="L12" s="118">
        <v>5.1737883478458944E-2</v>
      </c>
      <c r="M12" s="118">
        <v>0.05</v>
      </c>
      <c r="N12" s="87" t="s">
        <v>148</v>
      </c>
      <c r="O12" s="91">
        <v>45689</v>
      </c>
      <c r="P12" s="332"/>
    </row>
    <row r="13" spans="2:16" s="3" customFormat="1" ht="29.1" customHeight="1" x14ac:dyDescent="0.25">
      <c r="B13" s="164" t="s">
        <v>146</v>
      </c>
      <c r="C13" s="165">
        <v>22.856498558381521</v>
      </c>
      <c r="D13" s="165">
        <v>30.238703807997226</v>
      </c>
      <c r="E13" s="165">
        <v>24.775077212300257</v>
      </c>
      <c r="F13" s="165">
        <v>29.899876560142644</v>
      </c>
      <c r="G13" s="165">
        <v>21.824496095877976</v>
      </c>
      <c r="H13" s="166">
        <v>24.650954216576547</v>
      </c>
      <c r="I13" s="192">
        <v>23.844473723770193</v>
      </c>
      <c r="J13" s="192">
        <v>22.973033009018614</v>
      </c>
      <c r="K13" s="192">
        <v>22.391043582566972</v>
      </c>
      <c r="L13" s="192">
        <v>22.3</v>
      </c>
      <c r="M13" s="192">
        <v>21.2</v>
      </c>
      <c r="N13" s="90" t="s">
        <v>188</v>
      </c>
      <c r="O13" s="91">
        <v>45689</v>
      </c>
      <c r="P13" s="332"/>
    </row>
    <row r="14" spans="2:16" s="3" customFormat="1" ht="29.1" customHeight="1" x14ac:dyDescent="0.25">
      <c r="B14" s="126" t="s">
        <v>49</v>
      </c>
      <c r="C14" s="136">
        <v>1384</v>
      </c>
      <c r="D14" s="136">
        <v>452</v>
      </c>
      <c r="E14" s="136">
        <v>694</v>
      </c>
      <c r="F14" s="136">
        <v>509</v>
      </c>
      <c r="G14" s="136">
        <v>1398</v>
      </c>
      <c r="H14" s="82">
        <v>4437</v>
      </c>
      <c r="I14" s="103">
        <v>4227</v>
      </c>
      <c r="J14" s="103">
        <v>4029</v>
      </c>
      <c r="K14" s="103">
        <v>3881</v>
      </c>
      <c r="L14" s="103">
        <v>3846</v>
      </c>
      <c r="M14" s="103">
        <v>3701</v>
      </c>
      <c r="N14" s="87" t="s">
        <v>148</v>
      </c>
      <c r="O14" s="91">
        <v>45689</v>
      </c>
      <c r="P14" s="332"/>
    </row>
    <row r="15" spans="2:16" s="3" customFormat="1" ht="29.1" customHeight="1" x14ac:dyDescent="0.25">
      <c r="B15" s="115" t="s">
        <v>38</v>
      </c>
      <c r="C15" s="116">
        <f t="shared" ref="C15:H15" si="3">C14/C3</f>
        <v>4.0066004689806908E-2</v>
      </c>
      <c r="D15" s="116">
        <f t="shared" si="3"/>
        <v>1.5550815385673983E-2</v>
      </c>
      <c r="E15" s="116">
        <f t="shared" si="3"/>
        <v>8.3333333333333329E-2</v>
      </c>
      <c r="F15" s="116">
        <f t="shared" si="3"/>
        <v>2.7513513513513513E-2</v>
      </c>
      <c r="G15" s="116">
        <f t="shared" si="3"/>
        <v>7.8183546781499913E-2</v>
      </c>
      <c r="H15" s="117">
        <f t="shared" si="3"/>
        <v>4.0962720877416495E-2</v>
      </c>
      <c r="I15" s="118">
        <v>4.0826773554836528E-2</v>
      </c>
      <c r="J15" s="118">
        <v>4.0282346354192707E-2</v>
      </c>
      <c r="K15" s="118">
        <v>3.8802627500774851E-2</v>
      </c>
      <c r="L15" s="118">
        <v>3.9820672375055655E-2</v>
      </c>
      <c r="M15" s="118">
        <v>0.04</v>
      </c>
      <c r="N15" s="87" t="s">
        <v>148</v>
      </c>
      <c r="O15" s="91">
        <v>45689</v>
      </c>
      <c r="P15" s="332"/>
    </row>
    <row r="16" spans="2:16" s="3" customFormat="1" ht="29.1" customHeight="1" x14ac:dyDescent="0.25">
      <c r="B16" s="164" t="s">
        <v>146</v>
      </c>
      <c r="C16" s="165">
        <v>22.318980809546847</v>
      </c>
      <c r="D16" s="165">
        <v>25.65703581767611</v>
      </c>
      <c r="E16" s="165">
        <v>27.850234760624424</v>
      </c>
      <c r="F16" s="165">
        <v>33.751077514753661</v>
      </c>
      <c r="G16" s="165">
        <v>23.928522524989731</v>
      </c>
      <c r="H16" s="166">
        <v>24.919826341890808</v>
      </c>
      <c r="I16" s="192">
        <v>24.59402691553549</v>
      </c>
      <c r="J16" s="192">
        <v>23.593827775012443</v>
      </c>
      <c r="K16" s="192">
        <v>22.72713963634234</v>
      </c>
      <c r="L16" s="192">
        <v>22.7</v>
      </c>
      <c r="M16" s="192">
        <v>23</v>
      </c>
      <c r="N16" s="90" t="s">
        <v>188</v>
      </c>
      <c r="O16" s="91">
        <v>45689</v>
      </c>
      <c r="P16" s="332"/>
    </row>
    <row r="17" spans="2:16" s="3" customFormat="1" ht="29.1" customHeight="1" x14ac:dyDescent="0.25">
      <c r="B17" s="126" t="s">
        <v>50</v>
      </c>
      <c r="C17" s="136">
        <v>227</v>
      </c>
      <c r="D17" s="81">
        <v>0</v>
      </c>
      <c r="E17" s="136">
        <v>415</v>
      </c>
      <c r="F17" s="136">
        <v>65</v>
      </c>
      <c r="G17" s="136">
        <v>107</v>
      </c>
      <c r="H17" s="82">
        <v>814</v>
      </c>
      <c r="I17" s="103">
        <v>782</v>
      </c>
      <c r="J17" s="103">
        <v>751</v>
      </c>
      <c r="K17" s="103">
        <v>724</v>
      </c>
      <c r="L17" s="103">
        <v>718</v>
      </c>
      <c r="M17" s="103">
        <v>702</v>
      </c>
      <c r="N17" s="87" t="s">
        <v>148</v>
      </c>
      <c r="O17" s="91">
        <v>45689</v>
      </c>
      <c r="P17" s="332"/>
    </row>
    <row r="18" spans="2:16" s="3" customFormat="1" ht="29.1" customHeight="1" x14ac:dyDescent="0.25">
      <c r="B18" s="115" t="s">
        <v>38</v>
      </c>
      <c r="C18" s="116">
        <f>C17/C3</f>
        <v>6.5715195553368265E-3</v>
      </c>
      <c r="D18" s="81">
        <v>0</v>
      </c>
      <c r="E18" s="116">
        <f>E17/E3</f>
        <v>4.9831892411143129E-2</v>
      </c>
      <c r="F18" s="116">
        <f>F17/F3</f>
        <v>3.5135135135135136E-3</v>
      </c>
      <c r="G18" s="116">
        <f>G17/G3</f>
        <v>5.9840053688272471E-3</v>
      </c>
      <c r="H18" s="157">
        <f>H17/H3</f>
        <v>7.5149098026182169E-3</v>
      </c>
      <c r="I18" s="158">
        <v>7.5530014004925872E-3</v>
      </c>
      <c r="J18" s="158">
        <v>7.5085733710594984E-3</v>
      </c>
      <c r="K18" s="158">
        <v>7.2386246613143504E-3</v>
      </c>
      <c r="L18" s="158">
        <v>7.4340204797945812E-3</v>
      </c>
      <c r="M18" s="158">
        <v>0.01</v>
      </c>
      <c r="N18" s="87" t="s">
        <v>148</v>
      </c>
      <c r="O18" s="91">
        <v>45689</v>
      </c>
      <c r="P18" s="332"/>
    </row>
    <row r="19" spans="2:16" s="3" customFormat="1" ht="29.1" customHeight="1" x14ac:dyDescent="0.25">
      <c r="B19" s="164" t="s">
        <v>146</v>
      </c>
      <c r="C19" s="165">
        <v>18.38056680161943</v>
      </c>
      <c r="D19" s="81">
        <v>0</v>
      </c>
      <c r="E19" s="165">
        <v>30.795488275452655</v>
      </c>
      <c r="F19" s="165">
        <v>32.226078334159645</v>
      </c>
      <c r="G19" s="165">
        <v>17.848206839032525</v>
      </c>
      <c r="H19" s="166">
        <v>24.055795259767127</v>
      </c>
      <c r="I19" s="192">
        <v>23.044733895208346</v>
      </c>
      <c r="J19" s="192">
        <v>22.075898762456276</v>
      </c>
      <c r="K19" s="192">
        <v>21.282224639172227</v>
      </c>
      <c r="L19" s="192">
        <v>21.1</v>
      </c>
      <c r="M19" s="192">
        <v>19.5</v>
      </c>
      <c r="N19" s="90" t="s">
        <v>188</v>
      </c>
      <c r="O19" s="91">
        <v>45689</v>
      </c>
      <c r="P19" s="332"/>
    </row>
    <row r="20" spans="2:16" s="3" customFormat="1" ht="29.1" customHeight="1" x14ac:dyDescent="0.25">
      <c r="B20" s="126" t="s">
        <v>51</v>
      </c>
      <c r="C20" s="136">
        <v>726</v>
      </c>
      <c r="D20" s="136">
        <v>3662</v>
      </c>
      <c r="E20" s="136">
        <v>529</v>
      </c>
      <c r="F20" s="136">
        <v>1081</v>
      </c>
      <c r="G20" s="136">
        <v>2161</v>
      </c>
      <c r="H20" s="82">
        <v>8159</v>
      </c>
      <c r="I20" s="103">
        <v>7824</v>
      </c>
      <c r="J20" s="103">
        <v>7550</v>
      </c>
      <c r="K20" s="103">
        <v>7401</v>
      </c>
      <c r="L20" s="103">
        <v>7304</v>
      </c>
      <c r="M20" s="103">
        <v>6352</v>
      </c>
      <c r="N20" s="87" t="s">
        <v>148</v>
      </c>
      <c r="O20" s="91">
        <v>45689</v>
      </c>
      <c r="P20" s="332"/>
    </row>
    <row r="21" spans="2:16" s="3" customFormat="1" ht="29.1" customHeight="1" x14ac:dyDescent="0.25">
      <c r="B21" s="115" t="s">
        <v>38</v>
      </c>
      <c r="C21" s="116">
        <f t="shared" ref="C21:H21" si="4">C20/C3</f>
        <v>2.1017282806936283E-2</v>
      </c>
      <c r="D21" s="116">
        <f t="shared" si="4"/>
        <v>0.12598912819101354</v>
      </c>
      <c r="E21" s="116">
        <f t="shared" si="4"/>
        <v>6.3520653218059553E-2</v>
      </c>
      <c r="F21" s="116">
        <f t="shared" si="4"/>
        <v>5.843243243243243E-2</v>
      </c>
      <c r="G21" s="116">
        <f t="shared" si="4"/>
        <v>0.12085453833678206</v>
      </c>
      <c r="H21" s="157">
        <f t="shared" si="4"/>
        <v>7.5324507468749427E-2</v>
      </c>
      <c r="I21" s="158">
        <v>7.5568648283189266E-2</v>
      </c>
      <c r="J21" s="158">
        <v>7.548565772503224E-2</v>
      </c>
      <c r="K21" s="158">
        <v>7.399594077125346E-2</v>
      </c>
      <c r="L21" s="158">
        <v>7.5624074630110893E-2</v>
      </c>
      <c r="M21" s="158">
        <v>7.0000000000000007E-2</v>
      </c>
      <c r="N21" s="87" t="s">
        <v>148</v>
      </c>
      <c r="O21" s="91">
        <v>45689</v>
      </c>
      <c r="P21" s="332"/>
    </row>
    <row r="22" spans="2:16" s="3" customFormat="1" ht="29.1" customHeight="1" x14ac:dyDescent="0.25">
      <c r="B22" s="164" t="s">
        <v>146</v>
      </c>
      <c r="C22" s="165">
        <v>23.217883526815697</v>
      </c>
      <c r="D22" s="167">
        <v>32.251530230305164</v>
      </c>
      <c r="E22" s="165">
        <v>29.607656573571386</v>
      </c>
      <c r="F22" s="165">
        <v>40.002960441105728</v>
      </c>
      <c r="G22" s="165">
        <v>28.030715749604379</v>
      </c>
      <c r="H22" s="166">
        <v>30.581188764533465</v>
      </c>
      <c r="I22" s="192">
        <v>29.470480552646844</v>
      </c>
      <c r="J22" s="192">
        <v>28.413902113166362</v>
      </c>
      <c r="K22" s="192">
        <v>27.853150932389969</v>
      </c>
      <c r="L22" s="192">
        <v>27.4</v>
      </c>
      <c r="M22" s="192">
        <v>24</v>
      </c>
      <c r="N22" s="90" t="s">
        <v>188</v>
      </c>
      <c r="O22" s="91">
        <v>45689</v>
      </c>
      <c r="P22" s="332"/>
    </row>
    <row r="23" spans="2:16" s="3" customFormat="1" ht="29.1" customHeight="1" x14ac:dyDescent="0.25">
      <c r="B23" s="126" t="s">
        <v>52</v>
      </c>
      <c r="C23" s="81">
        <v>0</v>
      </c>
      <c r="D23" s="81">
        <v>0</v>
      </c>
      <c r="E23" s="136">
        <v>46</v>
      </c>
      <c r="F23" s="136">
        <v>39</v>
      </c>
      <c r="G23" s="81">
        <v>0</v>
      </c>
      <c r="H23" s="82">
        <v>85</v>
      </c>
      <c r="I23" s="103">
        <v>83</v>
      </c>
      <c r="J23" s="103">
        <v>86</v>
      </c>
      <c r="K23" s="103">
        <v>82</v>
      </c>
      <c r="L23" s="103">
        <v>82</v>
      </c>
      <c r="M23" s="103">
        <v>81</v>
      </c>
      <c r="N23" s="87" t="s">
        <v>148</v>
      </c>
      <c r="O23" s="91">
        <v>45689</v>
      </c>
      <c r="P23" s="332"/>
    </row>
    <row r="24" spans="2:16" s="3" customFormat="1" ht="29.1" customHeight="1" x14ac:dyDescent="0.25">
      <c r="B24" s="115" t="s">
        <v>38</v>
      </c>
      <c r="C24" s="81">
        <v>0</v>
      </c>
      <c r="D24" s="81">
        <v>0</v>
      </c>
      <c r="E24" s="122">
        <f>E23/E3</f>
        <v>5.5235350624399616E-3</v>
      </c>
      <c r="F24" s="122">
        <f>F23/F3</f>
        <v>2.108108108108108E-3</v>
      </c>
      <c r="G24" s="81">
        <v>0</v>
      </c>
      <c r="H24" s="123">
        <f>H23/H3</f>
        <v>7.8472645359035432E-4</v>
      </c>
      <c r="I24" s="124">
        <v>8.0166127396532575E-4</v>
      </c>
      <c r="J24" s="124">
        <v>8.5983663104010233E-4</v>
      </c>
      <c r="K24" s="124">
        <v>8.1984422959637665E-4</v>
      </c>
      <c r="L24" s="124">
        <v>8.4901069546400505E-4</v>
      </c>
      <c r="M24" s="124">
        <v>1E-3</v>
      </c>
      <c r="N24" s="87" t="s">
        <v>148</v>
      </c>
      <c r="O24" s="91">
        <v>45689</v>
      </c>
      <c r="P24" s="332"/>
    </row>
    <row r="25" spans="2:16" s="3" customFormat="1" ht="29.1" customHeight="1" x14ac:dyDescent="0.25">
      <c r="B25" s="164" t="s">
        <v>146</v>
      </c>
      <c r="C25" s="81">
        <v>0</v>
      </c>
      <c r="D25" s="81">
        <v>0</v>
      </c>
      <c r="E25" s="165">
        <v>30.483764082173625</v>
      </c>
      <c r="F25" s="165">
        <v>25.540275049115913</v>
      </c>
      <c r="G25" s="81">
        <v>0</v>
      </c>
      <c r="H25" s="166">
        <v>27.997364953886692</v>
      </c>
      <c r="I25" s="192">
        <v>27.383701748597822</v>
      </c>
      <c r="J25" s="192">
        <v>28.308097432521393</v>
      </c>
      <c r="K25" s="192">
        <v>26.991441737985518</v>
      </c>
      <c r="L25" s="192">
        <v>26.9</v>
      </c>
      <c r="M25" s="192">
        <v>26.5</v>
      </c>
      <c r="N25" s="90" t="s">
        <v>188</v>
      </c>
      <c r="O25" s="91">
        <v>45689</v>
      </c>
      <c r="P25" s="332"/>
    </row>
    <row r="26" spans="2:16" s="3" customFormat="1" ht="29.1" customHeight="1" x14ac:dyDescent="0.25">
      <c r="B26" s="126" t="s">
        <v>53</v>
      </c>
      <c r="C26" s="136">
        <v>1008</v>
      </c>
      <c r="D26" s="136">
        <v>1530</v>
      </c>
      <c r="E26" s="136">
        <v>1256</v>
      </c>
      <c r="F26" s="136">
        <v>1707</v>
      </c>
      <c r="G26" s="136">
        <v>3990</v>
      </c>
      <c r="H26" s="82">
        <v>9491</v>
      </c>
      <c r="I26" s="103">
        <v>9090</v>
      </c>
      <c r="J26" s="103">
        <v>8745</v>
      </c>
      <c r="K26" s="103">
        <v>8419</v>
      </c>
      <c r="L26" s="103">
        <v>8349</v>
      </c>
      <c r="M26" s="103">
        <v>7788</v>
      </c>
      <c r="N26" s="87" t="s">
        <v>148</v>
      </c>
      <c r="O26" s="91">
        <v>45689</v>
      </c>
      <c r="P26" s="332"/>
    </row>
    <row r="27" spans="2:16" s="3" customFormat="1" ht="29.1" customHeight="1" x14ac:dyDescent="0.25">
      <c r="B27" s="115" t="s">
        <v>38</v>
      </c>
      <c r="C27" s="116">
        <f t="shared" ref="C27:H27" si="5">C26/C3</f>
        <v>2.918102075673798E-2</v>
      </c>
      <c r="D27" s="116">
        <f t="shared" si="5"/>
        <v>5.2638821991330076E-2</v>
      </c>
      <c r="E27" s="116">
        <f t="shared" si="5"/>
        <v>0.15081652257444764</v>
      </c>
      <c r="F27" s="116">
        <f t="shared" si="5"/>
        <v>9.2270270270270266E-2</v>
      </c>
      <c r="G27" s="116">
        <f t="shared" si="5"/>
        <v>0.2231418824450534</v>
      </c>
      <c r="H27" s="117">
        <f t="shared" si="5"/>
        <v>8.7621632600306504E-2</v>
      </c>
      <c r="I27" s="118">
        <v>8.7796397353551936E-2</v>
      </c>
      <c r="J27" s="118">
        <v>8.7433387656345299E-2</v>
      </c>
      <c r="K27" s="118">
        <v>8.4174006938681656E-2</v>
      </c>
      <c r="L27" s="118">
        <v>8.6443784102792423E-2</v>
      </c>
      <c r="M27" s="118">
        <v>0.09</v>
      </c>
      <c r="N27" s="87" t="s">
        <v>148</v>
      </c>
      <c r="O27" s="91">
        <v>45689</v>
      </c>
      <c r="P27" s="332"/>
    </row>
    <row r="28" spans="2:16" s="3" customFormat="1" ht="29.1" customHeight="1" x14ac:dyDescent="0.25">
      <c r="B28" s="164" t="s">
        <v>146</v>
      </c>
      <c r="C28" s="165">
        <v>21.331527489736317</v>
      </c>
      <c r="D28" s="165">
        <v>29.945979801143036</v>
      </c>
      <c r="E28" s="165">
        <v>30.127128807867596</v>
      </c>
      <c r="F28" s="165">
        <v>34.671866431052344</v>
      </c>
      <c r="G28" s="165">
        <v>24.44208940046434</v>
      </c>
      <c r="H28" s="166">
        <v>26.923906136528686</v>
      </c>
      <c r="I28" s="192">
        <v>25.890207292550798</v>
      </c>
      <c r="J28" s="192">
        <v>24.969804952844328</v>
      </c>
      <c r="K28" s="192">
        <v>24.038969456603365</v>
      </c>
      <c r="L28" s="192">
        <v>23.9</v>
      </c>
      <c r="M28" s="192">
        <v>21.9</v>
      </c>
      <c r="N28" s="90" t="s">
        <v>188</v>
      </c>
      <c r="O28" s="91">
        <v>45689</v>
      </c>
      <c r="P28" s="332"/>
    </row>
    <row r="29" spans="2:16" s="3" customFormat="1" ht="29.1" customHeight="1" x14ac:dyDescent="0.25">
      <c r="B29" s="126" t="s">
        <v>54</v>
      </c>
      <c r="C29" s="81">
        <v>0</v>
      </c>
      <c r="D29" s="136">
        <v>463</v>
      </c>
      <c r="E29" s="136">
        <v>1101</v>
      </c>
      <c r="F29" s="136">
        <v>517</v>
      </c>
      <c r="G29" s="136">
        <v>1038</v>
      </c>
      <c r="H29" s="82">
        <v>3119</v>
      </c>
      <c r="I29" s="103">
        <v>3011</v>
      </c>
      <c r="J29" s="103">
        <v>2941</v>
      </c>
      <c r="K29" s="103">
        <v>2862</v>
      </c>
      <c r="L29" s="103">
        <v>2851</v>
      </c>
      <c r="M29" s="103">
        <v>2642</v>
      </c>
      <c r="N29" s="87" t="s">
        <v>148</v>
      </c>
      <c r="O29" s="91">
        <v>45689</v>
      </c>
      <c r="P29" s="332"/>
    </row>
    <row r="30" spans="2:16" s="3" customFormat="1" ht="29.1" customHeight="1" x14ac:dyDescent="0.25">
      <c r="B30" s="115" t="s">
        <v>38</v>
      </c>
      <c r="C30" s="81">
        <v>0</v>
      </c>
      <c r="D30" s="116">
        <f>D29/D3</f>
        <v>1.5929264432670474E-2</v>
      </c>
      <c r="E30" s="116">
        <f>E29/E3</f>
        <v>0.13220461095100863</v>
      </c>
      <c r="F30" s="116">
        <f>F29/F3</f>
        <v>2.7945945945945946E-2</v>
      </c>
      <c r="G30" s="116">
        <f>G29/G3</f>
        <v>5.8050444606006377E-2</v>
      </c>
      <c r="H30" s="117">
        <f>H29/H3</f>
        <v>2.8794844808803708E-2</v>
      </c>
      <c r="I30" s="118">
        <v>2.9081952962766215E-2</v>
      </c>
      <c r="J30" s="118">
        <v>2.9404413161499315E-2</v>
      </c>
      <c r="K30" s="118">
        <v>2.8614563232985734E-2</v>
      </c>
      <c r="L30" s="118">
        <v>2.9518652350827786E-2</v>
      </c>
      <c r="M30" s="118">
        <v>0.03</v>
      </c>
      <c r="N30" s="87" t="s">
        <v>148</v>
      </c>
      <c r="O30" s="91">
        <v>45689</v>
      </c>
      <c r="P30" s="332"/>
    </row>
    <row r="31" spans="2:16" s="3" customFormat="1" ht="29.1" customHeight="1" x14ac:dyDescent="0.25">
      <c r="B31" s="164" t="s">
        <v>146</v>
      </c>
      <c r="C31" s="81">
        <v>0</v>
      </c>
      <c r="D31" s="165">
        <v>42.492657856093977</v>
      </c>
      <c r="E31" s="165">
        <v>30.565503456317149</v>
      </c>
      <c r="F31" s="165">
        <v>39.947457889043427</v>
      </c>
      <c r="G31" s="165">
        <v>23.26206803818744</v>
      </c>
      <c r="H31" s="166">
        <v>29.852317646270613</v>
      </c>
      <c r="I31" s="192">
        <v>29.206072069450506</v>
      </c>
      <c r="J31" s="192">
        <v>28.505519855000824</v>
      </c>
      <c r="K31" s="192">
        <v>27.739815649443166</v>
      </c>
      <c r="L31" s="192">
        <v>27.6</v>
      </c>
      <c r="M31" s="192">
        <v>25.5</v>
      </c>
      <c r="N31" s="90" t="s">
        <v>188</v>
      </c>
      <c r="O31" s="91">
        <v>45689</v>
      </c>
      <c r="P31" s="333"/>
    </row>
    <row r="32" spans="2:16" s="3" customFormat="1" ht="27.95" customHeight="1" x14ac:dyDescent="0.25">
      <c r="B32" s="137" t="s">
        <v>56</v>
      </c>
      <c r="C32" s="138"/>
      <c r="D32" s="138"/>
      <c r="E32" s="138"/>
      <c r="F32" s="138"/>
      <c r="G32" s="138"/>
      <c r="H32" s="138"/>
      <c r="I32" s="139"/>
      <c r="J32" s="139"/>
      <c r="K32" s="139"/>
      <c r="L32" s="139"/>
      <c r="M32" s="139"/>
      <c r="N32" s="142"/>
      <c r="O32" s="143"/>
      <c r="P32" s="144"/>
    </row>
    <row r="33" spans="2:16" s="3" customFormat="1" ht="29.1" customHeight="1" x14ac:dyDescent="0.25">
      <c r="B33" s="126" t="s">
        <v>57</v>
      </c>
      <c r="C33" s="136">
        <v>1395</v>
      </c>
      <c r="D33" s="136">
        <v>4170</v>
      </c>
      <c r="E33" s="136">
        <v>3512</v>
      </c>
      <c r="F33" s="136">
        <v>5162</v>
      </c>
      <c r="G33" s="136">
        <v>2180</v>
      </c>
      <c r="H33" s="82">
        <v>16419</v>
      </c>
      <c r="I33" s="103">
        <v>15846</v>
      </c>
      <c r="J33" s="103">
        <v>15383</v>
      </c>
      <c r="K33" s="103">
        <v>14932</v>
      </c>
      <c r="L33" s="103">
        <v>14849</v>
      </c>
      <c r="M33" s="103">
        <v>14162</v>
      </c>
      <c r="N33" s="87" t="s">
        <v>148</v>
      </c>
      <c r="O33" s="91">
        <v>45689</v>
      </c>
      <c r="P33" s="64"/>
    </row>
    <row r="34" spans="2:16" s="3" customFormat="1" ht="29.1" customHeight="1" x14ac:dyDescent="0.25">
      <c r="B34" s="115" t="s">
        <v>59</v>
      </c>
      <c r="C34" s="116">
        <f>C33/$H$33</f>
        <v>8.4962543394847434E-2</v>
      </c>
      <c r="D34" s="116">
        <f t="shared" ref="D34:H34" si="6">D33/$H$33</f>
        <v>0.25397405444911381</v>
      </c>
      <c r="E34" s="116">
        <f>E33/$H$33</f>
        <v>0.21389853218831842</v>
      </c>
      <c r="F34" s="116">
        <f t="shared" si="6"/>
        <v>0.31439186308544981</v>
      </c>
      <c r="G34" s="116">
        <f>G33/$H$33</f>
        <v>0.13277300688227053</v>
      </c>
      <c r="H34" s="117">
        <f t="shared" si="6"/>
        <v>1</v>
      </c>
      <c r="I34" s="161" t="s">
        <v>35</v>
      </c>
      <c r="J34" s="161" t="s">
        <v>35</v>
      </c>
      <c r="K34" s="161" t="s">
        <v>35</v>
      </c>
      <c r="L34" s="161" t="s">
        <v>35</v>
      </c>
      <c r="M34" s="161" t="s">
        <v>35</v>
      </c>
      <c r="N34" s="87" t="s">
        <v>148</v>
      </c>
      <c r="O34" s="91">
        <v>45689</v>
      </c>
      <c r="P34" s="64"/>
    </row>
    <row r="35" spans="2:16" s="3" customFormat="1" ht="29.1" customHeight="1" x14ac:dyDescent="0.25">
      <c r="B35" s="127" t="s">
        <v>38</v>
      </c>
      <c r="C35" s="140">
        <f>C33/C3</f>
        <v>4.038444836869988E-2</v>
      </c>
      <c r="D35" s="140">
        <f t="shared" ref="D35:H35" si="7">D33/D3</f>
        <v>0.14346659327048786</v>
      </c>
      <c r="E35" s="140">
        <f t="shared" si="7"/>
        <v>0.42170989433237271</v>
      </c>
      <c r="F35" s="140">
        <f t="shared" si="7"/>
        <v>0.27902702702702703</v>
      </c>
      <c r="G35" s="140">
        <f t="shared" si="7"/>
        <v>0.12191711872937755</v>
      </c>
      <c r="H35" s="141">
        <f t="shared" si="7"/>
        <v>0.15158145460588268</v>
      </c>
      <c r="I35" s="159">
        <v>0.15304969334041629</v>
      </c>
      <c r="J35" s="159">
        <v>0.15380077785220808</v>
      </c>
      <c r="K35" s="159">
        <v>0.14929163458942801</v>
      </c>
      <c r="L35" s="159">
        <v>0.15374341240176842</v>
      </c>
      <c r="M35" s="159">
        <v>0.16</v>
      </c>
      <c r="N35" s="87" t="s">
        <v>148</v>
      </c>
      <c r="O35" s="145">
        <v>45689</v>
      </c>
      <c r="P35" s="69"/>
    </row>
    <row r="36" spans="2:16" s="3" customFormat="1" ht="29.1" customHeight="1" x14ac:dyDescent="0.25">
      <c r="B36" s="217" t="s">
        <v>146</v>
      </c>
      <c r="C36" s="218">
        <v>22.830302931116314</v>
      </c>
      <c r="D36" s="219">
        <v>31.151251652809215</v>
      </c>
      <c r="E36" s="218">
        <v>28.483142877997746</v>
      </c>
      <c r="F36" s="218">
        <v>34.16959025617264</v>
      </c>
      <c r="G36" s="218">
        <v>24.929955972325462</v>
      </c>
      <c r="H36" s="220">
        <v>29.48909986314213</v>
      </c>
      <c r="I36" s="221">
        <v>28.31918505942275</v>
      </c>
      <c r="J36" s="221">
        <v>27.491734429452237</v>
      </c>
      <c r="K36" s="221">
        <v>26.621548621052987</v>
      </c>
      <c r="L36" s="221">
        <v>26.4</v>
      </c>
      <c r="M36" s="221">
        <v>25.1</v>
      </c>
      <c r="N36" s="90" t="s">
        <v>188</v>
      </c>
      <c r="O36" s="145">
        <v>45689</v>
      </c>
      <c r="P36" s="162"/>
    </row>
    <row r="37" spans="2:16" s="3" customFormat="1" ht="6.4" customHeight="1" x14ac:dyDescent="0.25">
      <c r="B37" s="222"/>
      <c r="C37" s="223"/>
      <c r="D37" s="223"/>
      <c r="E37" s="223"/>
      <c r="F37" s="223"/>
      <c r="G37" s="223"/>
      <c r="H37" s="223"/>
      <c r="I37" s="223"/>
      <c r="J37" s="223"/>
      <c r="K37" s="223"/>
      <c r="L37" s="223"/>
      <c r="M37" s="223"/>
      <c r="N37" s="224"/>
      <c r="O37" s="215"/>
      <c r="P37" s="216"/>
    </row>
    <row r="38" spans="2:16" s="3" customFormat="1" ht="27.75" customHeight="1" x14ac:dyDescent="0.25">
      <c r="N38" s="4"/>
      <c r="O38" s="8"/>
      <c r="P38" s="11"/>
    </row>
    <row r="42" spans="2:16" x14ac:dyDescent="0.25">
      <c r="O42" s="314"/>
    </row>
    <row r="43" spans="2:16" x14ac:dyDescent="0.25">
      <c r="O43" s="314"/>
    </row>
    <row r="44" spans="2:16" x14ac:dyDescent="0.25">
      <c r="O44" s="314"/>
      <c r="P44" s="315"/>
    </row>
    <row r="45" spans="2:16" x14ac:dyDescent="0.25">
      <c r="O45" s="314"/>
    </row>
    <row r="46" spans="2:16" x14ac:dyDescent="0.25">
      <c r="O46" s="314"/>
    </row>
    <row r="47" spans="2:16" x14ac:dyDescent="0.25">
      <c r="O47" s="314"/>
    </row>
    <row r="48" spans="2:16" x14ac:dyDescent="0.25">
      <c r="O48" s="314"/>
    </row>
    <row r="49" spans="15:15" x14ac:dyDescent="0.25">
      <c r="O49" s="314"/>
    </row>
    <row r="50" spans="15:15" x14ac:dyDescent="0.25">
      <c r="O50" s="314"/>
    </row>
    <row r="51" spans="15:15" x14ac:dyDescent="0.25">
      <c r="O51" s="314"/>
    </row>
    <row r="52" spans="15:15" x14ac:dyDescent="0.25">
      <c r="O52" s="314"/>
    </row>
  </sheetData>
  <mergeCells count="1">
    <mergeCell ref="P5:P31"/>
  </mergeCells>
  <pageMargins left="0.70866141732283472" right="0.70866141732283472" top="0.74803149606299213" bottom="0.74803149606299213" header="0.31496062992125984" footer="0.31496062992125984"/>
  <pageSetup paperSize="9" scale="7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56"/>
  <sheetViews>
    <sheetView workbookViewId="0">
      <selection activeCell="H23" sqref="H23"/>
    </sheetView>
  </sheetViews>
  <sheetFormatPr baseColWidth="10" defaultRowHeight="15" x14ac:dyDescent="0.25"/>
  <cols>
    <col min="1" max="1" width="45" customWidth="1"/>
    <col min="2" max="6" width="15.28515625" customWidth="1"/>
  </cols>
  <sheetData>
    <row r="1" spans="1:6" ht="15.75" thickBot="1" x14ac:dyDescent="0.3">
      <c r="A1" s="334" t="s">
        <v>153</v>
      </c>
      <c r="B1" s="335"/>
      <c r="C1" s="335"/>
      <c r="D1" s="335"/>
      <c r="E1" s="335"/>
      <c r="F1" s="336"/>
    </row>
    <row r="2" spans="1:6" x14ac:dyDescent="0.25">
      <c r="A2" s="232"/>
      <c r="B2" s="233">
        <v>2019</v>
      </c>
      <c r="C2" s="233">
        <v>2018</v>
      </c>
      <c r="D2" s="234">
        <v>2017</v>
      </c>
      <c r="E2" s="235">
        <v>2016</v>
      </c>
      <c r="F2" s="236">
        <v>2015</v>
      </c>
    </row>
    <row r="3" spans="1:6" x14ac:dyDescent="0.25">
      <c r="A3" s="237" t="s">
        <v>154</v>
      </c>
      <c r="B3" s="238">
        <v>88229322.980000004</v>
      </c>
      <c r="C3" s="238">
        <v>84177571.800000012</v>
      </c>
      <c r="D3" s="239">
        <v>83976366.379999995</v>
      </c>
      <c r="E3" s="240">
        <v>81154859.989999995</v>
      </c>
      <c r="F3" s="241">
        <v>60051377.750000022</v>
      </c>
    </row>
    <row r="4" spans="1:6" x14ac:dyDescent="0.25">
      <c r="A4" s="242" t="s">
        <v>155</v>
      </c>
      <c r="B4" s="238">
        <v>3012729.98</v>
      </c>
      <c r="C4" s="238">
        <v>3137752.9600000004</v>
      </c>
      <c r="D4" s="239">
        <v>2860325.8900000006</v>
      </c>
      <c r="E4" s="240">
        <v>3093922.2100000004</v>
      </c>
      <c r="F4" s="241">
        <v>2768625.810000001</v>
      </c>
    </row>
    <row r="5" spans="1:6" x14ac:dyDescent="0.25">
      <c r="A5" s="237" t="s">
        <v>26</v>
      </c>
      <c r="B5" s="238">
        <v>23320292.949999992</v>
      </c>
      <c r="C5" s="238">
        <v>23642881.000000011</v>
      </c>
      <c r="D5" s="239">
        <v>23145838.79000001</v>
      </c>
      <c r="E5" s="240">
        <v>20145864.170000002</v>
      </c>
      <c r="F5" s="241">
        <v>17901290.579999998</v>
      </c>
    </row>
    <row r="6" spans="1:6" x14ac:dyDescent="0.25">
      <c r="A6" s="237" t="s">
        <v>27</v>
      </c>
      <c r="B6" s="238">
        <v>16527380.120000001</v>
      </c>
      <c r="C6" s="238">
        <v>14032779.790000003</v>
      </c>
      <c r="D6" s="239">
        <v>13604472.27</v>
      </c>
      <c r="E6" s="240">
        <v>12915627.639999997</v>
      </c>
      <c r="F6" s="241">
        <v>11778937.000000002</v>
      </c>
    </row>
    <row r="7" spans="1:6" x14ac:dyDescent="0.25">
      <c r="A7" s="237" t="s">
        <v>156</v>
      </c>
      <c r="B7" s="238">
        <v>33922146.43</v>
      </c>
      <c r="C7" s="238">
        <v>12019225.68</v>
      </c>
      <c r="D7" s="239">
        <v>9309129</v>
      </c>
      <c r="E7" s="240">
        <v>13839632.199999999</v>
      </c>
      <c r="F7" s="241">
        <v>18668430.009999998</v>
      </c>
    </row>
    <row r="8" spans="1:6" x14ac:dyDescent="0.25">
      <c r="A8" s="237" t="s">
        <v>157</v>
      </c>
      <c r="B8" s="238">
        <v>2800672</v>
      </c>
      <c r="C8" s="238">
        <v>2542881</v>
      </c>
      <c r="D8" s="239">
        <v>261236</v>
      </c>
      <c r="E8" s="240"/>
      <c r="F8" s="241"/>
    </row>
    <row r="9" spans="1:6" x14ac:dyDescent="0.25">
      <c r="A9" s="237" t="s">
        <v>158</v>
      </c>
      <c r="B9" s="238">
        <v>2416633</v>
      </c>
      <c r="C9" s="238">
        <v>5109815</v>
      </c>
      <c r="D9" s="239">
        <v>5643279</v>
      </c>
      <c r="E9" s="240"/>
      <c r="F9" s="241"/>
    </row>
    <row r="10" spans="1:6" x14ac:dyDescent="0.25">
      <c r="A10" s="237" t="s">
        <v>159</v>
      </c>
      <c r="B10" s="238">
        <v>772787</v>
      </c>
      <c r="C10" s="238">
        <v>2705549.46</v>
      </c>
      <c r="D10" s="239">
        <v>2061669.62</v>
      </c>
      <c r="E10" s="240"/>
      <c r="F10" s="241"/>
    </row>
    <row r="11" spans="1:6" x14ac:dyDescent="0.25">
      <c r="A11" s="237" t="s">
        <v>160</v>
      </c>
      <c r="B11" s="238">
        <v>1479605</v>
      </c>
      <c r="C11" s="238">
        <v>6917408.9800000004</v>
      </c>
      <c r="D11" s="239">
        <v>5754619.4299999997</v>
      </c>
      <c r="E11" s="240"/>
      <c r="F11" s="241"/>
    </row>
    <row r="12" spans="1:6" x14ac:dyDescent="0.25">
      <c r="A12" s="237" t="s">
        <v>161</v>
      </c>
      <c r="B12" s="238">
        <v>916776</v>
      </c>
      <c r="C12" s="238">
        <v>4266875.9399999995</v>
      </c>
      <c r="D12" s="239">
        <v>3835094.96</v>
      </c>
      <c r="E12" s="240"/>
      <c r="F12" s="241"/>
    </row>
    <row r="13" spans="1:6" x14ac:dyDescent="0.25">
      <c r="A13" s="237" t="s">
        <v>162</v>
      </c>
      <c r="B13" s="238">
        <v>270790</v>
      </c>
      <c r="C13" s="238">
        <v>570547</v>
      </c>
      <c r="D13" s="239">
        <v>131437</v>
      </c>
      <c r="E13" s="240"/>
      <c r="F13" s="241"/>
    </row>
    <row r="14" spans="1:6" x14ac:dyDescent="0.25">
      <c r="A14" s="237" t="s">
        <v>163</v>
      </c>
      <c r="B14" s="238">
        <v>1301842.1499999999</v>
      </c>
      <c r="C14" s="238">
        <v>1340850.2899999998</v>
      </c>
      <c r="D14" s="239">
        <v>17458</v>
      </c>
      <c r="E14" s="240"/>
      <c r="F14" s="241"/>
    </row>
    <row r="15" spans="1:6" ht="15.75" thickBot="1" x14ac:dyDescent="0.3">
      <c r="A15" s="243" t="s">
        <v>164</v>
      </c>
      <c r="B15" s="244">
        <v>174970977.60999998</v>
      </c>
      <c r="C15" s="244">
        <v>160464138.90000004</v>
      </c>
      <c r="D15" s="245">
        <v>150600926.34</v>
      </c>
      <c r="E15" s="246">
        <v>131149906.20999999</v>
      </c>
      <c r="F15" s="247">
        <v>111168661.15000001</v>
      </c>
    </row>
    <row r="16" spans="1:6" x14ac:dyDescent="0.25">
      <c r="A16" s="248" t="s">
        <v>165</v>
      </c>
    </row>
    <row r="17" spans="1:6" ht="15.75" thickBot="1" x14ac:dyDescent="0.3">
      <c r="A17" s="249"/>
    </row>
    <row r="18" spans="1:6" ht="15.75" thickBot="1" x14ac:dyDescent="0.3">
      <c r="A18" s="334" t="s">
        <v>166</v>
      </c>
      <c r="B18" s="335"/>
      <c r="C18" s="335"/>
      <c r="D18" s="335"/>
      <c r="E18" s="335"/>
      <c r="F18" s="336"/>
    </row>
    <row r="19" spans="1:6" ht="15.75" thickBot="1" x14ac:dyDescent="0.3">
      <c r="A19" s="250"/>
      <c r="B19" s="251">
        <v>2019</v>
      </c>
      <c r="C19" s="251">
        <v>2018</v>
      </c>
      <c r="D19" s="252">
        <v>2017</v>
      </c>
      <c r="E19" s="251">
        <v>2016</v>
      </c>
      <c r="F19" s="251">
        <v>2015</v>
      </c>
    </row>
    <row r="20" spans="1:6" x14ac:dyDescent="0.25">
      <c r="A20" s="253" t="s">
        <v>167</v>
      </c>
      <c r="B20" s="254">
        <v>88229322.980000004</v>
      </c>
      <c r="C20" s="254">
        <v>84177571.800000012</v>
      </c>
      <c r="D20" s="255">
        <v>83976366.379999995</v>
      </c>
      <c r="E20" s="254">
        <v>81154859.989999995</v>
      </c>
      <c r="F20" s="254">
        <v>60051377.750000022</v>
      </c>
    </row>
    <row r="21" spans="1:6" x14ac:dyDescent="0.25">
      <c r="A21" s="256" t="s">
        <v>168</v>
      </c>
      <c r="B21" s="238">
        <v>3794668.4</v>
      </c>
      <c r="C21" s="238">
        <v>3681227.7399999998</v>
      </c>
      <c r="D21" s="257">
        <v>2131737.9</v>
      </c>
      <c r="E21" s="238"/>
      <c r="F21" s="238"/>
    </row>
    <row r="22" spans="1:6" x14ac:dyDescent="0.25">
      <c r="A22" s="256" t="s">
        <v>169</v>
      </c>
      <c r="B22" s="238">
        <v>33206052.160000004</v>
      </c>
      <c r="C22" s="238">
        <v>37757489.149999999</v>
      </c>
      <c r="D22" s="257">
        <v>31810271.359999996</v>
      </c>
      <c r="E22" s="238"/>
      <c r="F22" s="238"/>
    </row>
    <row r="23" spans="1:6" x14ac:dyDescent="0.25">
      <c r="A23" s="256" t="s">
        <v>170</v>
      </c>
      <c r="B23" s="238">
        <v>18339537.460000005</v>
      </c>
      <c r="C23" s="238">
        <v>12685916.660000002</v>
      </c>
      <c r="D23" s="257">
        <v>17813160.670000002</v>
      </c>
      <c r="E23" s="238"/>
      <c r="F23" s="238"/>
    </row>
    <row r="24" spans="1:6" x14ac:dyDescent="0.25">
      <c r="A24" s="256" t="s">
        <v>171</v>
      </c>
      <c r="B24" s="238">
        <v>7786421.9099999992</v>
      </c>
      <c r="C24" s="238">
        <v>5412027.0300000003</v>
      </c>
      <c r="D24" s="257">
        <v>7466992.2300000004</v>
      </c>
      <c r="E24" s="238"/>
      <c r="F24" s="238"/>
    </row>
    <row r="25" spans="1:6" x14ac:dyDescent="0.25">
      <c r="A25" s="256" t="s">
        <v>172</v>
      </c>
      <c r="B25" s="238">
        <v>13260085.409999998</v>
      </c>
      <c r="C25" s="238">
        <v>14319395.050000001</v>
      </c>
      <c r="D25" s="257">
        <v>13334317.039999999</v>
      </c>
      <c r="E25" s="238"/>
      <c r="F25" s="238"/>
    </row>
    <row r="26" spans="1:6" ht="15.75" thickBot="1" x14ac:dyDescent="0.3">
      <c r="A26" s="258" t="s">
        <v>173</v>
      </c>
      <c r="B26" s="259">
        <v>11842557.640000001</v>
      </c>
      <c r="C26" s="259">
        <v>10321516.17</v>
      </c>
      <c r="D26" s="260">
        <v>11419887.18</v>
      </c>
      <c r="E26" s="259"/>
      <c r="F26" s="259"/>
    </row>
    <row r="27" spans="1:6" x14ac:dyDescent="0.25">
      <c r="A27" s="261" t="s">
        <v>174</v>
      </c>
      <c r="B27" s="262">
        <v>3012729.98</v>
      </c>
      <c r="C27" s="262">
        <v>3137752.9600000004</v>
      </c>
      <c r="D27" s="263">
        <v>2860325.8900000006</v>
      </c>
      <c r="E27" s="262">
        <v>3093922.2100000004</v>
      </c>
      <c r="F27" s="262">
        <v>2768625.810000001</v>
      </c>
    </row>
    <row r="28" spans="1:6" x14ac:dyDescent="0.25">
      <c r="A28" s="256" t="s">
        <v>175</v>
      </c>
      <c r="B28" s="238">
        <v>2341292.5499999998</v>
      </c>
      <c r="C28" s="238">
        <v>2083785.7600000002</v>
      </c>
      <c r="D28" s="257">
        <v>2058646.0200000005</v>
      </c>
      <c r="E28" s="238"/>
      <c r="F28" s="238"/>
    </row>
    <row r="29" spans="1:6" x14ac:dyDescent="0.25">
      <c r="A29" s="264" t="s">
        <v>176</v>
      </c>
      <c r="B29" s="265">
        <v>335469</v>
      </c>
      <c r="C29" s="265">
        <v>498921.7</v>
      </c>
      <c r="D29" s="266">
        <v>388036</v>
      </c>
      <c r="E29" s="265"/>
      <c r="F29" s="265"/>
    </row>
    <row r="30" spans="1:6" x14ac:dyDescent="0.25">
      <c r="A30" s="267" t="s">
        <v>177</v>
      </c>
      <c r="B30" s="268">
        <v>152818.38</v>
      </c>
      <c r="C30" s="268">
        <v>112512.62</v>
      </c>
      <c r="D30" s="269">
        <v>239016.99</v>
      </c>
      <c r="E30" s="268"/>
      <c r="F30" s="268"/>
    </row>
    <row r="31" spans="1:6" x14ac:dyDescent="0.25">
      <c r="A31" s="256" t="s">
        <v>178</v>
      </c>
      <c r="B31" s="238">
        <v>14280</v>
      </c>
      <c r="C31" s="238">
        <v>106400</v>
      </c>
      <c r="D31" s="257">
        <v>56400</v>
      </c>
      <c r="E31" s="238"/>
      <c r="F31" s="238"/>
    </row>
    <row r="32" spans="1:6" x14ac:dyDescent="0.25">
      <c r="A32" s="256" t="s">
        <v>179</v>
      </c>
      <c r="B32" s="238">
        <v>22552.16</v>
      </c>
      <c r="C32" s="238">
        <v>60150</v>
      </c>
      <c r="D32" s="257">
        <v>27600</v>
      </c>
      <c r="E32" s="238"/>
      <c r="F32" s="238"/>
    </row>
    <row r="33" spans="1:6" x14ac:dyDescent="0.25">
      <c r="A33" s="256" t="s">
        <v>180</v>
      </c>
      <c r="B33" s="238">
        <v>146317.89000000001</v>
      </c>
      <c r="C33" s="238">
        <v>275982.88</v>
      </c>
      <c r="D33" s="257">
        <v>90626.880000000005</v>
      </c>
      <c r="E33" s="238"/>
      <c r="F33" s="238"/>
    </row>
    <row r="34" spans="1:6" x14ac:dyDescent="0.25">
      <c r="A34" s="261" t="s">
        <v>26</v>
      </c>
      <c r="B34" s="262">
        <v>23320292.949999992</v>
      </c>
      <c r="C34" s="262">
        <v>23642881.000000011</v>
      </c>
      <c r="D34" s="263">
        <v>23145838.79000001</v>
      </c>
      <c r="E34" s="262">
        <v>20145864.170000002</v>
      </c>
      <c r="F34" s="262">
        <v>17901290.579999998</v>
      </c>
    </row>
    <row r="35" spans="1:6" x14ac:dyDescent="0.25">
      <c r="A35" s="261" t="s">
        <v>27</v>
      </c>
      <c r="B35" s="262">
        <v>16527380.120000001</v>
      </c>
      <c r="C35" s="262">
        <v>14032779.790000003</v>
      </c>
      <c r="D35" s="263">
        <v>13604472.27</v>
      </c>
      <c r="E35" s="262">
        <v>12915627.639999997</v>
      </c>
      <c r="F35" s="262">
        <v>11778937.000000002</v>
      </c>
    </row>
    <row r="36" spans="1:6" x14ac:dyDescent="0.25">
      <c r="A36" s="261" t="s">
        <v>156</v>
      </c>
      <c r="B36" s="262">
        <v>33922146.43</v>
      </c>
      <c r="C36" s="262">
        <v>12019225.68</v>
      </c>
      <c r="D36" s="263">
        <v>9309129</v>
      </c>
      <c r="E36" s="262">
        <v>13839632.199999999</v>
      </c>
      <c r="F36" s="262">
        <v>18668430.009999998</v>
      </c>
    </row>
    <row r="37" spans="1:6" ht="15.75" thickBot="1" x14ac:dyDescent="0.3">
      <c r="A37" s="256" t="s">
        <v>181</v>
      </c>
      <c r="B37" s="238">
        <v>322200</v>
      </c>
      <c r="C37" s="238">
        <v>433720</v>
      </c>
      <c r="D37" s="257"/>
      <c r="E37" s="238"/>
      <c r="F37" s="238"/>
    </row>
    <row r="38" spans="1:6" x14ac:dyDescent="0.25">
      <c r="A38" s="253" t="s">
        <v>157</v>
      </c>
      <c r="B38" s="254">
        <v>2800672</v>
      </c>
      <c r="C38" s="254">
        <v>2542881</v>
      </c>
      <c r="D38" s="255">
        <v>261236</v>
      </c>
      <c r="E38" s="254"/>
      <c r="F38" s="254"/>
    </row>
    <row r="39" spans="1:6" ht="15.75" thickBot="1" x14ac:dyDescent="0.3">
      <c r="A39" s="256" t="s">
        <v>181</v>
      </c>
      <c r="B39" s="238">
        <v>1918426</v>
      </c>
      <c r="C39" s="238">
        <v>1619431</v>
      </c>
      <c r="D39" s="257"/>
      <c r="E39" s="238"/>
      <c r="F39" s="238"/>
    </row>
    <row r="40" spans="1:6" x14ac:dyDescent="0.25">
      <c r="A40" s="253" t="s">
        <v>158</v>
      </c>
      <c r="B40" s="254">
        <v>2416633</v>
      </c>
      <c r="C40" s="254">
        <v>5109815</v>
      </c>
      <c r="D40" s="255">
        <v>5643279</v>
      </c>
      <c r="E40" s="254"/>
      <c r="F40" s="254"/>
    </row>
    <row r="41" spans="1:6" ht="15.75" thickBot="1" x14ac:dyDescent="0.3">
      <c r="A41" s="256" t="s">
        <v>181</v>
      </c>
      <c r="B41" s="238">
        <v>1140591</v>
      </c>
      <c r="C41" s="238">
        <v>1138807</v>
      </c>
      <c r="D41" s="257"/>
      <c r="E41" s="238"/>
      <c r="F41" s="238"/>
    </row>
    <row r="42" spans="1:6" x14ac:dyDescent="0.25">
      <c r="A42" s="253" t="s">
        <v>159</v>
      </c>
      <c r="B42" s="254">
        <v>772787</v>
      </c>
      <c r="C42" s="254">
        <v>2705549.46</v>
      </c>
      <c r="D42" s="255">
        <v>2061669.62</v>
      </c>
      <c r="E42" s="254"/>
      <c r="F42" s="254"/>
    </row>
    <row r="43" spans="1:6" ht="15.75" thickBot="1" x14ac:dyDescent="0.3">
      <c r="A43" s="256" t="s">
        <v>181</v>
      </c>
      <c r="B43" s="238">
        <v>122500</v>
      </c>
      <c r="C43" s="238">
        <v>122991</v>
      </c>
      <c r="D43" s="257"/>
      <c r="E43" s="238"/>
      <c r="F43" s="238"/>
    </row>
    <row r="44" spans="1:6" x14ac:dyDescent="0.25">
      <c r="A44" s="253" t="s">
        <v>160</v>
      </c>
      <c r="B44" s="254">
        <v>1479605</v>
      </c>
      <c r="C44" s="254">
        <v>6917408.9800000004</v>
      </c>
      <c r="D44" s="255">
        <v>5754619.4299999997</v>
      </c>
      <c r="E44" s="254"/>
      <c r="F44" s="254"/>
    </row>
    <row r="45" spans="1:6" ht="15.75" thickBot="1" x14ac:dyDescent="0.3">
      <c r="A45" s="256" t="s">
        <v>181</v>
      </c>
      <c r="B45" s="238">
        <v>686766</v>
      </c>
      <c r="C45" s="238">
        <v>623119</v>
      </c>
      <c r="D45" s="257"/>
      <c r="E45" s="238"/>
      <c r="F45" s="238"/>
    </row>
    <row r="46" spans="1:6" x14ac:dyDescent="0.25">
      <c r="A46" s="253" t="s">
        <v>161</v>
      </c>
      <c r="B46" s="254">
        <v>916776</v>
      </c>
      <c r="C46" s="254">
        <v>4266875.9399999995</v>
      </c>
      <c r="D46" s="255">
        <v>3835094.96</v>
      </c>
      <c r="E46" s="254"/>
      <c r="F46" s="254"/>
    </row>
    <row r="47" spans="1:6" x14ac:dyDescent="0.25">
      <c r="A47" s="256" t="s">
        <v>181</v>
      </c>
      <c r="B47" s="238">
        <v>80416</v>
      </c>
      <c r="C47" s="238">
        <v>79816</v>
      </c>
      <c r="D47" s="257"/>
      <c r="E47" s="238"/>
      <c r="F47" s="238"/>
    </row>
    <row r="48" spans="1:6" x14ac:dyDescent="0.25">
      <c r="A48" s="237" t="s">
        <v>162</v>
      </c>
      <c r="B48" s="238">
        <v>270790</v>
      </c>
      <c r="C48" s="238">
        <v>570547</v>
      </c>
      <c r="D48" s="257">
        <v>131437</v>
      </c>
      <c r="E48" s="238"/>
      <c r="F48" s="238"/>
    </row>
    <row r="49" spans="1:6" ht="15.75" thickBot="1" x14ac:dyDescent="0.3">
      <c r="A49" s="270" t="s">
        <v>163</v>
      </c>
      <c r="B49" s="265">
        <v>1301842.1499999999</v>
      </c>
      <c r="C49" s="265">
        <v>1340850.2899999998</v>
      </c>
      <c r="D49" s="266">
        <v>17458</v>
      </c>
      <c r="E49" s="265"/>
      <c r="F49" s="265"/>
    </row>
    <row r="50" spans="1:6" ht="15.75" thickBot="1" x14ac:dyDescent="0.3">
      <c r="A50" s="271" t="s">
        <v>164</v>
      </c>
      <c r="B50" s="272">
        <v>174970977.60999998</v>
      </c>
      <c r="C50" s="272">
        <v>160464138.90000004</v>
      </c>
      <c r="D50" s="273">
        <v>150600926.34</v>
      </c>
      <c r="E50" s="272">
        <v>131149906.20999999</v>
      </c>
      <c r="F50" s="272">
        <v>111168661.15000001</v>
      </c>
    </row>
    <row r="51" spans="1:6" x14ac:dyDescent="0.25">
      <c r="A51" s="248" t="s">
        <v>165</v>
      </c>
    </row>
    <row r="52" spans="1:6" ht="15.75" thickBot="1" x14ac:dyDescent="0.3"/>
    <row r="53" spans="1:6" ht="15.75" thickBot="1" x14ac:dyDescent="0.3">
      <c r="A53" s="334" t="s">
        <v>182</v>
      </c>
      <c r="B53" s="335"/>
      <c r="C53" s="335"/>
      <c r="D53" s="336"/>
    </row>
    <row r="54" spans="1:6" ht="15.75" thickBot="1" x14ac:dyDescent="0.3">
      <c r="A54" s="274"/>
      <c r="B54" s="275">
        <v>2019</v>
      </c>
      <c r="C54" s="275">
        <v>2018</v>
      </c>
      <c r="D54" s="275">
        <v>2017</v>
      </c>
    </row>
    <row r="55" spans="1:6" ht="15.75" thickBot="1" x14ac:dyDescent="0.3">
      <c r="A55" s="276" t="s">
        <v>183</v>
      </c>
      <c r="B55" s="277">
        <v>117290.63</v>
      </c>
      <c r="C55" s="277">
        <v>117811</v>
      </c>
      <c r="D55" s="277">
        <v>122009</v>
      </c>
    </row>
    <row r="56" spans="1:6" x14ac:dyDescent="0.25">
      <c r="A56" s="248" t="s">
        <v>165</v>
      </c>
    </row>
  </sheetData>
  <mergeCells count="3">
    <mergeCell ref="A1:F1"/>
    <mergeCell ref="A18:F18"/>
    <mergeCell ref="A53:D53"/>
  </mergeCell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AA68"/>
  <sheetViews>
    <sheetView zoomScaleNormal="100" workbookViewId="0">
      <selection activeCell="AD36" sqref="AD36"/>
    </sheetView>
  </sheetViews>
  <sheetFormatPr baseColWidth="10" defaultRowHeight="15" x14ac:dyDescent="0.25"/>
  <cols>
    <col min="2" max="2" width="8.7109375" customWidth="1"/>
    <col min="3" max="3" width="36.140625" customWidth="1"/>
    <col min="9" max="9" width="16.140625" customWidth="1"/>
    <col min="10" max="10" width="8.7109375" customWidth="1"/>
    <col min="11" max="11" width="34" customWidth="1"/>
    <col min="17" max="17" width="13" customWidth="1"/>
    <col min="18" max="19" width="14.28515625" customWidth="1"/>
    <col min="21" max="21" width="33.5703125" bestFit="1" customWidth="1"/>
    <col min="27" max="27" width="12.42578125" customWidth="1"/>
  </cols>
  <sheetData>
    <row r="1" spans="2:27" x14ac:dyDescent="0.25">
      <c r="B1" s="34" t="s">
        <v>65</v>
      </c>
      <c r="J1" s="34" t="s">
        <v>65</v>
      </c>
    </row>
    <row r="2" spans="2:27" ht="30" x14ac:dyDescent="0.25">
      <c r="B2" s="34">
        <v>2024</v>
      </c>
      <c r="C2" s="51" t="s">
        <v>66</v>
      </c>
      <c r="D2" s="51">
        <v>44</v>
      </c>
      <c r="E2" s="51">
        <v>49</v>
      </c>
      <c r="F2" s="51">
        <v>53</v>
      </c>
      <c r="G2" s="51">
        <v>72</v>
      </c>
      <c r="H2" s="51">
        <v>85</v>
      </c>
      <c r="I2" s="51" t="s">
        <v>72</v>
      </c>
      <c r="J2" s="34">
        <v>2024</v>
      </c>
      <c r="K2" s="51" t="s">
        <v>66</v>
      </c>
      <c r="L2" s="51" t="s">
        <v>67</v>
      </c>
      <c r="M2" s="51" t="s">
        <v>68</v>
      </c>
      <c r="N2" s="51" t="s">
        <v>69</v>
      </c>
      <c r="O2" s="51" t="s">
        <v>70</v>
      </c>
      <c r="P2" s="51" t="s">
        <v>71</v>
      </c>
      <c r="Q2" s="150" t="s">
        <v>72</v>
      </c>
      <c r="R2" s="152" t="s">
        <v>83</v>
      </c>
      <c r="S2" s="150" t="s">
        <v>94</v>
      </c>
      <c r="U2" s="51" t="s">
        <v>66</v>
      </c>
      <c r="V2" s="51" t="s">
        <v>67</v>
      </c>
      <c r="W2" s="51" t="s">
        <v>68</v>
      </c>
      <c r="X2" s="51" t="s">
        <v>69</v>
      </c>
      <c r="Y2" s="51" t="s">
        <v>70</v>
      </c>
      <c r="Z2" s="51" t="s">
        <v>71</v>
      </c>
      <c r="AA2" s="150" t="s">
        <v>72</v>
      </c>
    </row>
    <row r="3" spans="2:27" x14ac:dyDescent="0.25">
      <c r="C3" s="36" t="s">
        <v>73</v>
      </c>
      <c r="D3" s="37">
        <v>17</v>
      </c>
      <c r="E3" s="37">
        <v>16</v>
      </c>
      <c r="F3" s="37">
        <v>7</v>
      </c>
      <c r="G3" s="37">
        <v>5</v>
      </c>
      <c r="H3" s="37">
        <v>19</v>
      </c>
      <c r="I3" s="53">
        <f>SUM(D3:H3)</f>
        <v>64</v>
      </c>
      <c r="K3" s="36" t="s">
        <v>73</v>
      </c>
      <c r="L3" s="46">
        <f>D3/D$11</f>
        <v>3.9812646370023422E-2</v>
      </c>
      <c r="M3" s="46">
        <f t="shared" ref="M3:P3" si="0">E3/E$11</f>
        <v>6.584362139917696E-2</v>
      </c>
      <c r="N3" s="40">
        <f t="shared" si="0"/>
        <v>0.10294117647058823</v>
      </c>
      <c r="O3" s="54">
        <f t="shared" si="0"/>
        <v>3.0864197530864196E-2</v>
      </c>
      <c r="P3" s="46">
        <f t="shared" si="0"/>
        <v>8.6363636363636365E-2</v>
      </c>
      <c r="Q3" s="195">
        <f>I3/I$11</f>
        <v>5.7142857142857141E-2</v>
      </c>
      <c r="R3" s="153">
        <v>6.5005097131315442E-2</v>
      </c>
      <c r="S3" s="169" t="s">
        <v>189</v>
      </c>
      <c r="U3" s="36" t="s">
        <v>73</v>
      </c>
      <c r="V3" s="47">
        <f>D3/$I3</f>
        <v>0.265625</v>
      </c>
      <c r="W3" s="47">
        <f t="shared" ref="W3:W11" si="1">E3/$I3</f>
        <v>0.25</v>
      </c>
      <c r="X3" s="47">
        <f>F3/$I3</f>
        <v>0.109375</v>
      </c>
      <c r="Y3" s="47">
        <f t="shared" ref="Y3:Y11" si="2">G3/$I3</f>
        <v>7.8125E-2</v>
      </c>
      <c r="Z3" s="47">
        <f t="shared" ref="Z3:Z11" si="3">H3/$I3</f>
        <v>0.296875</v>
      </c>
      <c r="AA3" s="50">
        <f t="shared" ref="AA3:AA11" si="4">I3/$I3</f>
        <v>1</v>
      </c>
    </row>
    <row r="4" spans="2:27" x14ac:dyDescent="0.25">
      <c r="C4" s="36" t="s">
        <v>17</v>
      </c>
      <c r="D4" s="37">
        <v>108</v>
      </c>
      <c r="E4" s="37">
        <v>51</v>
      </c>
      <c r="F4" s="37">
        <v>8</v>
      </c>
      <c r="G4" s="37">
        <v>29</v>
      </c>
      <c r="H4" s="37">
        <v>52</v>
      </c>
      <c r="I4" s="53">
        <f t="shared" ref="I4:I11" si="5">SUM(D4:H4)</f>
        <v>248</v>
      </c>
      <c r="K4" s="36" t="s">
        <v>17</v>
      </c>
      <c r="L4" s="40">
        <f>D4/D$11</f>
        <v>0.25292740046838408</v>
      </c>
      <c r="M4" s="46">
        <f t="shared" ref="M4:M11" si="6">E4/E$11</f>
        <v>0.20987654320987653</v>
      </c>
      <c r="N4" s="46">
        <f t="shared" ref="N4:N11" si="7">F4/F$11</f>
        <v>0.11764705882352941</v>
      </c>
      <c r="O4" s="46">
        <f t="shared" ref="O4:O11" si="8">G4/G$11</f>
        <v>0.17901234567901234</v>
      </c>
      <c r="P4" s="40">
        <f t="shared" ref="P4:P11" si="9">H4/H$11</f>
        <v>0.23636363636363636</v>
      </c>
      <c r="Q4" s="304">
        <f t="shared" ref="Q4:Q11" si="10">I4/I$11</f>
        <v>0.22142857142857142</v>
      </c>
      <c r="R4" s="155">
        <v>0.17877116262230733</v>
      </c>
      <c r="S4" s="170" t="s">
        <v>152</v>
      </c>
      <c r="U4" s="36" t="s">
        <v>17</v>
      </c>
      <c r="V4" s="40">
        <f t="shared" ref="V4:V11" si="11">D4/$I4</f>
        <v>0.43548387096774194</v>
      </c>
      <c r="W4" s="39">
        <f t="shared" si="1"/>
        <v>0.20564516129032259</v>
      </c>
      <c r="X4" s="39">
        <f t="shared" ref="X4:X11" si="12">F4/$I4</f>
        <v>3.2258064516129031E-2</v>
      </c>
      <c r="Y4" s="39">
        <f t="shared" si="2"/>
        <v>0.11693548387096774</v>
      </c>
      <c r="Z4" s="39">
        <f t="shared" si="3"/>
        <v>0.20967741935483872</v>
      </c>
      <c r="AA4" s="49">
        <f t="shared" si="4"/>
        <v>1</v>
      </c>
    </row>
    <row r="5" spans="2:27" x14ac:dyDescent="0.25">
      <c r="C5" s="36" t="s">
        <v>74</v>
      </c>
      <c r="D5" s="37">
        <v>28</v>
      </c>
      <c r="E5" s="37">
        <v>23</v>
      </c>
      <c r="F5" s="37">
        <v>5</v>
      </c>
      <c r="G5" s="37">
        <v>8</v>
      </c>
      <c r="H5" s="37">
        <v>12</v>
      </c>
      <c r="I5" s="53">
        <f t="shared" si="5"/>
        <v>76</v>
      </c>
      <c r="K5" s="36" t="s">
        <v>74</v>
      </c>
      <c r="L5" s="46">
        <f t="shared" ref="L5:L11" si="13">D5/D$11</f>
        <v>6.5573770491803282E-2</v>
      </c>
      <c r="M5" s="46">
        <f t="shared" si="6"/>
        <v>9.4650205761316872E-2</v>
      </c>
      <c r="N5" s="46">
        <f t="shared" si="7"/>
        <v>7.3529411764705885E-2</v>
      </c>
      <c r="O5" s="46">
        <f t="shared" si="8"/>
        <v>4.9382716049382713E-2</v>
      </c>
      <c r="P5" s="46">
        <f t="shared" si="9"/>
        <v>5.4545454545454543E-2</v>
      </c>
      <c r="Q5" s="194">
        <f t="shared" si="10"/>
        <v>6.7857142857142852E-2</v>
      </c>
      <c r="R5" s="155">
        <v>6.8482579243719102E-2</v>
      </c>
      <c r="S5" s="168" t="s">
        <v>91</v>
      </c>
      <c r="U5" s="36" t="s">
        <v>74</v>
      </c>
      <c r="V5" s="39">
        <f t="shared" si="11"/>
        <v>0.36842105263157893</v>
      </c>
      <c r="W5" s="40">
        <f t="shared" si="1"/>
        <v>0.30263157894736842</v>
      </c>
      <c r="X5" s="39">
        <f t="shared" si="12"/>
        <v>6.5789473684210523E-2</v>
      </c>
      <c r="Y5" s="39">
        <f t="shared" si="2"/>
        <v>0.10526315789473684</v>
      </c>
      <c r="Z5" s="39">
        <f t="shared" si="3"/>
        <v>0.15789473684210525</v>
      </c>
      <c r="AA5" s="49">
        <f t="shared" si="4"/>
        <v>1</v>
      </c>
    </row>
    <row r="6" spans="2:27" x14ac:dyDescent="0.25">
      <c r="C6" s="36" t="s">
        <v>75</v>
      </c>
      <c r="D6" s="37">
        <v>55</v>
      </c>
      <c r="E6" s="37">
        <v>14</v>
      </c>
      <c r="F6" s="37">
        <v>6</v>
      </c>
      <c r="G6" s="37">
        <v>8</v>
      </c>
      <c r="H6" s="37">
        <v>9</v>
      </c>
      <c r="I6" s="53">
        <f t="shared" si="5"/>
        <v>92</v>
      </c>
      <c r="K6" s="36" t="s">
        <v>75</v>
      </c>
      <c r="L6" s="40">
        <f t="shared" si="13"/>
        <v>0.1288056206088993</v>
      </c>
      <c r="M6" s="46">
        <f t="shared" si="6"/>
        <v>5.7613168724279837E-2</v>
      </c>
      <c r="N6" s="46">
        <f t="shared" si="7"/>
        <v>8.8235294117647065E-2</v>
      </c>
      <c r="O6" s="46">
        <f t="shared" si="8"/>
        <v>4.9382716049382713E-2</v>
      </c>
      <c r="P6" s="54">
        <f t="shared" si="9"/>
        <v>4.0909090909090909E-2</v>
      </c>
      <c r="Q6" s="194">
        <f t="shared" si="10"/>
        <v>8.2142857142857142E-2</v>
      </c>
      <c r="R6" s="154">
        <v>8.2583054658396923E-2</v>
      </c>
      <c r="S6" s="168" t="s">
        <v>92</v>
      </c>
      <c r="U6" s="36" t="s">
        <v>75</v>
      </c>
      <c r="V6" s="40">
        <f t="shared" si="11"/>
        <v>0.59782608695652173</v>
      </c>
      <c r="W6" s="39">
        <f t="shared" si="1"/>
        <v>0.15217391304347827</v>
      </c>
      <c r="X6" s="39">
        <f t="shared" si="12"/>
        <v>6.5217391304347824E-2</v>
      </c>
      <c r="Y6" s="39">
        <f t="shared" si="2"/>
        <v>8.6956521739130432E-2</v>
      </c>
      <c r="Z6" s="39">
        <f t="shared" si="3"/>
        <v>9.7826086956521743E-2</v>
      </c>
      <c r="AA6" s="49">
        <f t="shared" si="4"/>
        <v>1</v>
      </c>
    </row>
    <row r="7" spans="2:27" x14ac:dyDescent="0.25">
      <c r="C7" s="36" t="s">
        <v>76</v>
      </c>
      <c r="D7" s="37">
        <v>14</v>
      </c>
      <c r="E7" s="37">
        <v>11</v>
      </c>
      <c r="F7" s="37">
        <v>4</v>
      </c>
      <c r="G7" s="37">
        <v>11</v>
      </c>
      <c r="H7" s="37">
        <v>14</v>
      </c>
      <c r="I7" s="53">
        <f t="shared" si="5"/>
        <v>54</v>
      </c>
      <c r="K7" s="36" t="s">
        <v>76</v>
      </c>
      <c r="L7" s="46">
        <f t="shared" si="13"/>
        <v>3.2786885245901641E-2</v>
      </c>
      <c r="M7" s="46">
        <f t="shared" si="6"/>
        <v>4.5267489711934158E-2</v>
      </c>
      <c r="N7" s="46">
        <f t="shared" si="7"/>
        <v>5.8823529411764705E-2</v>
      </c>
      <c r="O7" s="46">
        <f t="shared" si="8"/>
        <v>6.7901234567901231E-2</v>
      </c>
      <c r="P7" s="46">
        <f t="shared" si="9"/>
        <v>6.363636363636363E-2</v>
      </c>
      <c r="Q7" s="194">
        <f t="shared" si="10"/>
        <v>4.8214285714285716E-2</v>
      </c>
      <c r="R7" s="154">
        <v>5.0990367850916055E-2</v>
      </c>
      <c r="S7" s="170" t="s">
        <v>196</v>
      </c>
      <c r="U7" s="36" t="s">
        <v>76</v>
      </c>
      <c r="V7" s="47">
        <f t="shared" si="11"/>
        <v>0.25925925925925924</v>
      </c>
      <c r="W7" s="47">
        <f t="shared" si="1"/>
        <v>0.20370370370370369</v>
      </c>
      <c r="X7" s="47">
        <f t="shared" si="12"/>
        <v>7.407407407407407E-2</v>
      </c>
      <c r="Y7" s="47">
        <f t="shared" si="2"/>
        <v>0.20370370370370369</v>
      </c>
      <c r="Z7" s="47">
        <f t="shared" si="3"/>
        <v>0.25925925925925924</v>
      </c>
      <c r="AA7" s="50">
        <f t="shared" si="4"/>
        <v>1</v>
      </c>
    </row>
    <row r="8" spans="2:27" x14ac:dyDescent="0.25">
      <c r="C8" s="36" t="s">
        <v>77</v>
      </c>
      <c r="D8" s="37">
        <v>83</v>
      </c>
      <c r="E8" s="37">
        <v>60</v>
      </c>
      <c r="F8" s="37">
        <v>14</v>
      </c>
      <c r="G8" s="37">
        <v>41</v>
      </c>
      <c r="H8" s="37">
        <v>43</v>
      </c>
      <c r="I8" s="53">
        <f t="shared" si="5"/>
        <v>241</v>
      </c>
      <c r="K8" s="36" t="s">
        <v>77</v>
      </c>
      <c r="L8" s="46">
        <f t="shared" si="13"/>
        <v>0.19437939110070257</v>
      </c>
      <c r="M8" s="40">
        <f t="shared" si="6"/>
        <v>0.24691358024691357</v>
      </c>
      <c r="N8" s="46">
        <f t="shared" si="7"/>
        <v>0.20588235294117646</v>
      </c>
      <c r="O8" s="40">
        <f t="shared" si="8"/>
        <v>0.25308641975308643</v>
      </c>
      <c r="P8" s="46">
        <f t="shared" si="9"/>
        <v>0.19545454545454546</v>
      </c>
      <c r="Q8" s="194">
        <f t="shared" si="10"/>
        <v>0.21517857142857144</v>
      </c>
      <c r="R8" s="155">
        <v>0.2169091376797096</v>
      </c>
      <c r="S8" s="168" t="s">
        <v>121</v>
      </c>
      <c r="U8" s="36" t="s">
        <v>77</v>
      </c>
      <c r="V8" s="39">
        <f t="shared" si="11"/>
        <v>0.34439834024896265</v>
      </c>
      <c r="W8" s="39">
        <f t="shared" si="1"/>
        <v>0.24896265560165975</v>
      </c>
      <c r="X8" s="39">
        <f t="shared" si="12"/>
        <v>5.8091286307053944E-2</v>
      </c>
      <c r="Y8" s="39">
        <f t="shared" si="2"/>
        <v>0.17012448132780084</v>
      </c>
      <c r="Z8" s="39">
        <f t="shared" si="3"/>
        <v>0.17842323651452283</v>
      </c>
      <c r="AA8" s="49">
        <f t="shared" si="4"/>
        <v>1</v>
      </c>
    </row>
    <row r="9" spans="2:27" x14ac:dyDescent="0.25">
      <c r="C9" s="36" t="s">
        <v>78</v>
      </c>
      <c r="D9" s="37">
        <v>71</v>
      </c>
      <c r="E9" s="37">
        <v>44</v>
      </c>
      <c r="F9" s="37">
        <v>15</v>
      </c>
      <c r="G9" s="37">
        <v>25</v>
      </c>
      <c r="H9" s="37">
        <v>31</v>
      </c>
      <c r="I9" s="53">
        <f t="shared" si="5"/>
        <v>186</v>
      </c>
      <c r="K9" s="36" t="s">
        <v>78</v>
      </c>
      <c r="L9" s="46">
        <f t="shared" si="13"/>
        <v>0.16627634660421545</v>
      </c>
      <c r="M9" s="46">
        <f t="shared" si="6"/>
        <v>0.18106995884773663</v>
      </c>
      <c r="N9" s="40">
        <f t="shared" si="7"/>
        <v>0.22058823529411764</v>
      </c>
      <c r="O9" s="46">
        <f t="shared" si="8"/>
        <v>0.15432098765432098</v>
      </c>
      <c r="P9" s="46">
        <f t="shared" si="9"/>
        <v>0.1409090909090909</v>
      </c>
      <c r="Q9" s="194">
        <f t="shared" si="10"/>
        <v>0.16607142857142856</v>
      </c>
      <c r="R9" s="155">
        <v>0.12102590485990035</v>
      </c>
      <c r="S9" s="170" t="s">
        <v>152</v>
      </c>
      <c r="U9" s="36" t="s">
        <v>78</v>
      </c>
      <c r="V9" s="40">
        <f t="shared" si="11"/>
        <v>0.38172043010752688</v>
      </c>
      <c r="W9" s="40">
        <f t="shared" si="1"/>
        <v>0.23655913978494625</v>
      </c>
      <c r="X9" s="39">
        <f t="shared" si="12"/>
        <v>8.0645161290322578E-2</v>
      </c>
      <c r="Y9" s="39">
        <f t="shared" si="2"/>
        <v>0.13440860215053763</v>
      </c>
      <c r="Z9" s="39">
        <f t="shared" si="3"/>
        <v>0.16666666666666666</v>
      </c>
      <c r="AA9" s="49">
        <f t="shared" si="4"/>
        <v>1</v>
      </c>
    </row>
    <row r="10" spans="2:27" x14ac:dyDescent="0.25">
      <c r="C10" s="36" t="s">
        <v>16</v>
      </c>
      <c r="D10" s="37">
        <v>51</v>
      </c>
      <c r="E10" s="37">
        <v>24</v>
      </c>
      <c r="F10" s="37">
        <v>9</v>
      </c>
      <c r="G10" s="37">
        <v>35</v>
      </c>
      <c r="H10" s="37">
        <v>40</v>
      </c>
      <c r="I10" s="53">
        <f t="shared" si="5"/>
        <v>159</v>
      </c>
      <c r="K10" s="36" t="s">
        <v>16</v>
      </c>
      <c r="L10" s="46">
        <f t="shared" si="13"/>
        <v>0.11943793911007025</v>
      </c>
      <c r="M10" s="46">
        <f t="shared" si="6"/>
        <v>9.8765432098765427E-2</v>
      </c>
      <c r="N10" s="46">
        <f t="shared" si="7"/>
        <v>0.13235294117647059</v>
      </c>
      <c r="O10" s="40">
        <f t="shared" si="8"/>
        <v>0.21604938271604937</v>
      </c>
      <c r="P10" s="46">
        <f t="shared" si="9"/>
        <v>0.18181818181818182</v>
      </c>
      <c r="Q10" s="194">
        <f t="shared" si="10"/>
        <v>0.14196428571428571</v>
      </c>
      <c r="R10" s="154">
        <v>0.2162326959537352</v>
      </c>
      <c r="S10" s="168" t="s">
        <v>91</v>
      </c>
      <c r="U10" s="36" t="s">
        <v>16</v>
      </c>
      <c r="V10" s="39">
        <f t="shared" si="11"/>
        <v>0.32075471698113206</v>
      </c>
      <c r="W10" s="39">
        <f t="shared" si="1"/>
        <v>0.15094339622641509</v>
      </c>
      <c r="X10" s="39">
        <f t="shared" si="12"/>
        <v>5.6603773584905662E-2</v>
      </c>
      <c r="Y10" s="40">
        <f t="shared" si="2"/>
        <v>0.22012578616352202</v>
      </c>
      <c r="Z10" s="40">
        <f t="shared" si="3"/>
        <v>0.25157232704402516</v>
      </c>
      <c r="AA10" s="49">
        <f t="shared" si="4"/>
        <v>1</v>
      </c>
    </row>
    <row r="11" spans="2:27" x14ac:dyDescent="0.25">
      <c r="C11" s="52"/>
      <c r="D11" s="53">
        <f>SUM(D3:D10)</f>
        <v>427</v>
      </c>
      <c r="E11" s="53">
        <f t="shared" ref="E11:H11" si="14">SUM(E3:E10)</f>
        <v>243</v>
      </c>
      <c r="F11" s="53">
        <f t="shared" si="14"/>
        <v>68</v>
      </c>
      <c r="G11" s="53">
        <f t="shared" si="14"/>
        <v>162</v>
      </c>
      <c r="H11" s="53">
        <f t="shared" si="14"/>
        <v>220</v>
      </c>
      <c r="I11" s="53">
        <f t="shared" si="5"/>
        <v>1120</v>
      </c>
      <c r="K11" s="52"/>
      <c r="L11" s="49">
        <f t="shared" si="13"/>
        <v>1</v>
      </c>
      <c r="M11" s="49">
        <f t="shared" si="6"/>
        <v>1</v>
      </c>
      <c r="N11" s="49">
        <f t="shared" si="7"/>
        <v>1</v>
      </c>
      <c r="O11" s="49">
        <f t="shared" si="8"/>
        <v>1</v>
      </c>
      <c r="P11" s="49">
        <f t="shared" si="9"/>
        <v>1</v>
      </c>
      <c r="Q11" s="49">
        <f t="shared" si="10"/>
        <v>1</v>
      </c>
      <c r="R11" s="49">
        <v>1</v>
      </c>
      <c r="S11" s="171" t="s">
        <v>91</v>
      </c>
      <c r="U11" s="48"/>
      <c r="V11" s="49">
        <f t="shared" si="11"/>
        <v>0.38124999999999998</v>
      </c>
      <c r="W11" s="49">
        <f t="shared" si="1"/>
        <v>0.21696428571428572</v>
      </c>
      <c r="X11" s="49">
        <f t="shared" si="12"/>
        <v>6.0714285714285714E-2</v>
      </c>
      <c r="Y11" s="49">
        <f t="shared" si="2"/>
        <v>0.14464285714285716</v>
      </c>
      <c r="Z11" s="49">
        <f t="shared" si="3"/>
        <v>0.19642857142857142</v>
      </c>
      <c r="AA11" s="49">
        <f t="shared" si="4"/>
        <v>1</v>
      </c>
    </row>
    <row r="12" spans="2:27" x14ac:dyDescent="0.25">
      <c r="B12" s="34"/>
      <c r="J12" s="34"/>
    </row>
    <row r="13" spans="2:27" ht="30" x14ac:dyDescent="0.25">
      <c r="B13" s="34">
        <v>2023</v>
      </c>
      <c r="C13" s="51" t="s">
        <v>66</v>
      </c>
      <c r="D13" s="51">
        <v>44</v>
      </c>
      <c r="E13" s="51">
        <v>49</v>
      </c>
      <c r="F13" s="51">
        <v>53</v>
      </c>
      <c r="G13" s="51">
        <v>72</v>
      </c>
      <c r="H13" s="51">
        <v>85</v>
      </c>
      <c r="I13" s="51" t="s">
        <v>72</v>
      </c>
      <c r="J13" s="34">
        <v>2023</v>
      </c>
      <c r="K13" s="51" t="s">
        <v>66</v>
      </c>
      <c r="L13" s="51" t="s">
        <v>67</v>
      </c>
      <c r="M13" s="51" t="s">
        <v>68</v>
      </c>
      <c r="N13" s="51" t="s">
        <v>69</v>
      </c>
      <c r="O13" s="51" t="s">
        <v>70</v>
      </c>
      <c r="P13" s="51" t="s">
        <v>71</v>
      </c>
      <c r="Q13" s="150" t="s">
        <v>72</v>
      </c>
      <c r="R13" s="152" t="s">
        <v>83</v>
      </c>
      <c r="S13" s="150" t="s">
        <v>94</v>
      </c>
      <c r="U13" s="51" t="s">
        <v>66</v>
      </c>
      <c r="V13" s="51" t="s">
        <v>67</v>
      </c>
      <c r="W13" s="51" t="s">
        <v>68</v>
      </c>
      <c r="X13" s="51" t="s">
        <v>69</v>
      </c>
      <c r="Y13" s="51" t="s">
        <v>70</v>
      </c>
      <c r="Z13" s="51" t="s">
        <v>71</v>
      </c>
      <c r="AA13" s="150" t="s">
        <v>72</v>
      </c>
    </row>
    <row r="14" spans="2:27" x14ac:dyDescent="0.25">
      <c r="C14" s="36" t="s">
        <v>73</v>
      </c>
      <c r="D14" s="37">
        <v>23</v>
      </c>
      <c r="E14" s="37">
        <v>6</v>
      </c>
      <c r="F14" s="37">
        <v>4</v>
      </c>
      <c r="G14" s="37">
        <v>12</v>
      </c>
      <c r="H14" s="37">
        <v>13</v>
      </c>
      <c r="I14" s="53">
        <f>SUM(D14:H14)</f>
        <v>58</v>
      </c>
      <c r="K14" s="36" t="s">
        <v>73</v>
      </c>
      <c r="L14" s="46">
        <f>D14/D$22</f>
        <v>5.3488372093023255E-2</v>
      </c>
      <c r="M14" s="54">
        <f t="shared" ref="M14:Q22" si="15">E14/E$22</f>
        <v>2.5316455696202531E-2</v>
      </c>
      <c r="N14" s="46">
        <f t="shared" si="15"/>
        <v>0.04</v>
      </c>
      <c r="O14" s="46">
        <f t="shared" si="15"/>
        <v>6.741573033707865E-2</v>
      </c>
      <c r="P14" s="46">
        <f t="shared" si="15"/>
        <v>6.6666666666666666E-2</v>
      </c>
      <c r="Q14" s="195">
        <f t="shared" si="15"/>
        <v>5.0877192982456139E-2</v>
      </c>
      <c r="R14" s="153">
        <v>6.6476770454768686E-2</v>
      </c>
      <c r="S14" s="169" t="s">
        <v>209</v>
      </c>
      <c r="U14" s="36" t="s">
        <v>73</v>
      </c>
      <c r="V14" s="47">
        <f>D14/$I14</f>
        <v>0.39655172413793105</v>
      </c>
      <c r="W14" s="47">
        <f t="shared" ref="W14:W22" si="16">E14/$I14</f>
        <v>0.10344827586206896</v>
      </c>
      <c r="X14" s="47">
        <f t="shared" ref="X14:X22" si="17">F14/$I14</f>
        <v>6.8965517241379309E-2</v>
      </c>
      <c r="Y14" s="47">
        <f>G14/$I14</f>
        <v>0.20689655172413793</v>
      </c>
      <c r="Z14" s="47">
        <f t="shared" ref="Z14:Z22" si="18">H14/$I14</f>
        <v>0.22413793103448276</v>
      </c>
      <c r="AA14" s="50">
        <f t="shared" ref="AA14:AA22" si="19">I14/$I14</f>
        <v>1</v>
      </c>
    </row>
    <row r="15" spans="2:27" x14ac:dyDescent="0.25">
      <c r="C15" s="36" t="s">
        <v>17</v>
      </c>
      <c r="D15" s="37">
        <v>111</v>
      </c>
      <c r="E15" s="37">
        <v>46</v>
      </c>
      <c r="F15" s="37">
        <v>16</v>
      </c>
      <c r="G15" s="37">
        <v>36</v>
      </c>
      <c r="H15" s="37">
        <v>37</v>
      </c>
      <c r="I15" s="53">
        <f t="shared" ref="I15:I22" si="20">SUM(D15:H15)</f>
        <v>246</v>
      </c>
      <c r="K15" s="36" t="s">
        <v>17</v>
      </c>
      <c r="L15" s="40">
        <f t="shared" ref="L15:L22" si="21">D15/D$22</f>
        <v>0.25813953488372093</v>
      </c>
      <c r="M15" s="46">
        <f t="shared" si="15"/>
        <v>0.1940928270042194</v>
      </c>
      <c r="N15" s="46">
        <f t="shared" si="15"/>
        <v>0.16</v>
      </c>
      <c r="O15" s="46">
        <f t="shared" si="15"/>
        <v>0.20224719101123595</v>
      </c>
      <c r="P15" s="46">
        <f t="shared" si="15"/>
        <v>0.18974358974358974</v>
      </c>
      <c r="Q15" s="194">
        <f t="shared" si="15"/>
        <v>0.21578947368421053</v>
      </c>
      <c r="R15" s="155">
        <v>0.17722227679009919</v>
      </c>
      <c r="S15" s="168" t="s">
        <v>196</v>
      </c>
      <c r="U15" s="36" t="s">
        <v>17</v>
      </c>
      <c r="V15" s="40">
        <f t="shared" ref="V15:V22" si="22">D15/$I15</f>
        <v>0.45121951219512196</v>
      </c>
      <c r="W15" s="39">
        <f t="shared" si="16"/>
        <v>0.18699186991869918</v>
      </c>
      <c r="X15" s="39">
        <f t="shared" si="17"/>
        <v>6.5040650406504072E-2</v>
      </c>
      <c r="Y15" s="39">
        <f t="shared" ref="Y15:Y22" si="23">G15/$I15</f>
        <v>0.14634146341463414</v>
      </c>
      <c r="Z15" s="39">
        <f t="shared" si="18"/>
        <v>0.15040650406504066</v>
      </c>
      <c r="AA15" s="49">
        <f t="shared" si="19"/>
        <v>1</v>
      </c>
    </row>
    <row r="16" spans="2:27" x14ac:dyDescent="0.25">
      <c r="C16" s="36" t="s">
        <v>74</v>
      </c>
      <c r="D16" s="37">
        <v>35</v>
      </c>
      <c r="E16" s="37">
        <v>22</v>
      </c>
      <c r="F16" s="37">
        <v>5</v>
      </c>
      <c r="G16" s="37">
        <v>17</v>
      </c>
      <c r="H16" s="37">
        <v>16</v>
      </c>
      <c r="I16" s="53">
        <f t="shared" si="20"/>
        <v>95</v>
      </c>
      <c r="K16" s="36" t="s">
        <v>74</v>
      </c>
      <c r="L16" s="46">
        <f t="shared" si="21"/>
        <v>8.1395348837209308E-2</v>
      </c>
      <c r="M16" s="46">
        <f t="shared" si="15"/>
        <v>9.2827004219409287E-2</v>
      </c>
      <c r="N16" s="46">
        <f t="shared" si="15"/>
        <v>0.05</v>
      </c>
      <c r="O16" s="46">
        <f t="shared" si="15"/>
        <v>9.5505617977528087E-2</v>
      </c>
      <c r="P16" s="46">
        <f t="shared" si="15"/>
        <v>8.2051282051282051E-2</v>
      </c>
      <c r="Q16" s="194">
        <f t="shared" si="15"/>
        <v>8.3333333333333329E-2</v>
      </c>
      <c r="R16" s="155">
        <v>6.9590413515371777E-2</v>
      </c>
      <c r="S16" s="168" t="s">
        <v>210</v>
      </c>
      <c r="U16" s="36" t="s">
        <v>74</v>
      </c>
      <c r="V16" s="39">
        <f t="shared" si="22"/>
        <v>0.36842105263157893</v>
      </c>
      <c r="W16" s="39">
        <f t="shared" si="16"/>
        <v>0.23157894736842105</v>
      </c>
      <c r="X16" s="39">
        <f t="shared" si="17"/>
        <v>5.2631578947368418E-2</v>
      </c>
      <c r="Y16" s="39">
        <f t="shared" si="23"/>
        <v>0.17894736842105263</v>
      </c>
      <c r="Z16" s="39">
        <f t="shared" si="18"/>
        <v>0.16842105263157894</v>
      </c>
      <c r="AA16" s="49">
        <f t="shared" si="19"/>
        <v>1</v>
      </c>
    </row>
    <row r="17" spans="2:27" x14ac:dyDescent="0.25">
      <c r="C17" s="36" t="s">
        <v>75</v>
      </c>
      <c r="D17" s="37">
        <v>51</v>
      </c>
      <c r="E17" s="37">
        <v>16</v>
      </c>
      <c r="F17" s="37">
        <v>9</v>
      </c>
      <c r="G17" s="37">
        <v>5</v>
      </c>
      <c r="H17" s="37">
        <v>5</v>
      </c>
      <c r="I17" s="53">
        <f t="shared" si="20"/>
        <v>86</v>
      </c>
      <c r="K17" s="36" t="s">
        <v>75</v>
      </c>
      <c r="L17" s="40">
        <f t="shared" si="21"/>
        <v>0.1186046511627907</v>
      </c>
      <c r="M17" s="46">
        <f t="shared" si="15"/>
        <v>6.7510548523206745E-2</v>
      </c>
      <c r="N17" s="46">
        <f t="shared" si="15"/>
        <v>0.09</v>
      </c>
      <c r="O17" s="54">
        <f t="shared" si="15"/>
        <v>2.8089887640449437E-2</v>
      </c>
      <c r="P17" s="46">
        <f t="shared" si="15"/>
        <v>2.564102564102564E-2</v>
      </c>
      <c r="Q17" s="194">
        <f t="shared" si="15"/>
        <v>7.5438596491228069E-2</v>
      </c>
      <c r="R17" s="154">
        <v>8.3174540811315201E-2</v>
      </c>
      <c r="S17" s="168" t="s">
        <v>121</v>
      </c>
      <c r="U17" s="36" t="s">
        <v>75</v>
      </c>
      <c r="V17" s="40">
        <f t="shared" si="22"/>
        <v>0.59302325581395354</v>
      </c>
      <c r="W17" s="39">
        <f t="shared" si="16"/>
        <v>0.18604651162790697</v>
      </c>
      <c r="X17" s="39">
        <f t="shared" si="17"/>
        <v>0.10465116279069768</v>
      </c>
      <c r="Y17" s="39">
        <f t="shared" si="23"/>
        <v>5.8139534883720929E-2</v>
      </c>
      <c r="Z17" s="39">
        <f t="shared" si="18"/>
        <v>5.8139534883720929E-2</v>
      </c>
      <c r="AA17" s="49">
        <f t="shared" si="19"/>
        <v>1</v>
      </c>
    </row>
    <row r="18" spans="2:27" x14ac:dyDescent="0.25">
      <c r="C18" s="36" t="s">
        <v>76</v>
      </c>
      <c r="D18" s="37">
        <v>18</v>
      </c>
      <c r="E18" s="37">
        <v>10</v>
      </c>
      <c r="F18" s="37">
        <v>9</v>
      </c>
      <c r="G18" s="37">
        <v>6</v>
      </c>
      <c r="H18" s="37">
        <v>13</v>
      </c>
      <c r="I18" s="53">
        <f t="shared" si="20"/>
        <v>56</v>
      </c>
      <c r="K18" s="36" t="s">
        <v>76</v>
      </c>
      <c r="L18" s="46">
        <f t="shared" si="21"/>
        <v>4.1860465116279069E-2</v>
      </c>
      <c r="M18" s="46">
        <f t="shared" si="15"/>
        <v>4.2194092827004218E-2</v>
      </c>
      <c r="N18" s="46">
        <f t="shared" si="15"/>
        <v>0.09</v>
      </c>
      <c r="O18" s="54">
        <f t="shared" si="15"/>
        <v>3.3707865168539325E-2</v>
      </c>
      <c r="P18" s="46">
        <f t="shared" si="15"/>
        <v>6.6666666666666666E-2</v>
      </c>
      <c r="Q18" s="195">
        <f t="shared" si="15"/>
        <v>4.912280701754386E-2</v>
      </c>
      <c r="R18" s="154">
        <v>5.0289755426775364E-2</v>
      </c>
      <c r="S18" s="170" t="s">
        <v>196</v>
      </c>
      <c r="U18" s="36" t="s">
        <v>76</v>
      </c>
      <c r="V18" s="47">
        <f t="shared" si="22"/>
        <v>0.32142857142857145</v>
      </c>
      <c r="W18" s="47">
        <f t="shared" si="16"/>
        <v>0.17857142857142858</v>
      </c>
      <c r="X18" s="47">
        <f t="shared" si="17"/>
        <v>0.16071428571428573</v>
      </c>
      <c r="Y18" s="47">
        <f t="shared" si="23"/>
        <v>0.10714285714285714</v>
      </c>
      <c r="Z18" s="47">
        <f t="shared" si="18"/>
        <v>0.23214285714285715</v>
      </c>
      <c r="AA18" s="50">
        <f t="shared" si="19"/>
        <v>1</v>
      </c>
    </row>
    <row r="19" spans="2:27" x14ac:dyDescent="0.25">
      <c r="C19" s="36" t="s">
        <v>77</v>
      </c>
      <c r="D19" s="37">
        <v>81</v>
      </c>
      <c r="E19" s="37">
        <v>65</v>
      </c>
      <c r="F19" s="37">
        <v>20</v>
      </c>
      <c r="G19" s="37">
        <v>48</v>
      </c>
      <c r="H19" s="37">
        <v>45</v>
      </c>
      <c r="I19" s="53">
        <f t="shared" si="20"/>
        <v>259</v>
      </c>
      <c r="K19" s="36" t="s">
        <v>77</v>
      </c>
      <c r="L19" s="46">
        <f t="shared" si="21"/>
        <v>0.1883720930232558</v>
      </c>
      <c r="M19" s="46">
        <f t="shared" si="15"/>
        <v>0.27426160337552741</v>
      </c>
      <c r="N19" s="46">
        <f t="shared" si="15"/>
        <v>0.2</v>
      </c>
      <c r="O19" s="40">
        <f t="shared" si="15"/>
        <v>0.2696629213483146</v>
      </c>
      <c r="P19" s="46">
        <f t="shared" si="15"/>
        <v>0.23076923076923078</v>
      </c>
      <c r="Q19" s="304">
        <f t="shared" si="15"/>
        <v>0.22719298245614036</v>
      </c>
      <c r="R19" s="155">
        <v>0.21703172576367744</v>
      </c>
      <c r="S19" s="168" t="s">
        <v>210</v>
      </c>
      <c r="U19" s="36" t="s">
        <v>77</v>
      </c>
      <c r="V19" s="39">
        <f t="shared" si="22"/>
        <v>0.31274131274131273</v>
      </c>
      <c r="W19" s="40">
        <f t="shared" si="16"/>
        <v>0.25096525096525096</v>
      </c>
      <c r="X19" s="39">
        <f t="shared" si="17"/>
        <v>7.7220077220077218E-2</v>
      </c>
      <c r="Y19" s="39">
        <f t="shared" si="23"/>
        <v>0.18532818532818532</v>
      </c>
      <c r="Z19" s="39">
        <f t="shared" si="18"/>
        <v>0.17374517374517376</v>
      </c>
      <c r="AA19" s="49">
        <f t="shared" si="19"/>
        <v>1</v>
      </c>
    </row>
    <row r="20" spans="2:27" x14ac:dyDescent="0.25">
      <c r="C20" s="36" t="s">
        <v>78</v>
      </c>
      <c r="D20" s="37">
        <v>60</v>
      </c>
      <c r="E20" s="37">
        <v>44</v>
      </c>
      <c r="F20" s="37">
        <v>21</v>
      </c>
      <c r="G20" s="37">
        <v>19</v>
      </c>
      <c r="H20" s="37">
        <v>41</v>
      </c>
      <c r="I20" s="53">
        <f t="shared" si="20"/>
        <v>185</v>
      </c>
      <c r="K20" s="36" t="s">
        <v>78</v>
      </c>
      <c r="L20" s="46">
        <f t="shared" si="21"/>
        <v>0.13953488372093023</v>
      </c>
      <c r="M20" s="46">
        <f t="shared" si="15"/>
        <v>0.18565400843881857</v>
      </c>
      <c r="N20" s="40">
        <f t="shared" si="15"/>
        <v>0.21</v>
      </c>
      <c r="O20" s="46">
        <f t="shared" si="15"/>
        <v>0.10674157303370786</v>
      </c>
      <c r="P20" s="40">
        <f t="shared" si="15"/>
        <v>0.21025641025641026</v>
      </c>
      <c r="Q20" s="194">
        <f t="shared" si="15"/>
        <v>0.16228070175438597</v>
      </c>
      <c r="R20" s="155">
        <v>0.11986052450643356</v>
      </c>
      <c r="S20" s="168" t="s">
        <v>91</v>
      </c>
      <c r="U20" s="36" t="s">
        <v>78</v>
      </c>
      <c r="V20" s="39">
        <f t="shared" si="22"/>
        <v>0.32432432432432434</v>
      </c>
      <c r="W20" s="39">
        <f t="shared" si="16"/>
        <v>0.23783783783783785</v>
      </c>
      <c r="X20" s="39">
        <f t="shared" si="17"/>
        <v>0.11351351351351352</v>
      </c>
      <c r="Y20" s="39">
        <f t="shared" si="23"/>
        <v>0.10270270270270271</v>
      </c>
      <c r="Z20" s="40">
        <f t="shared" si="18"/>
        <v>0.22162162162162163</v>
      </c>
      <c r="AA20" s="49">
        <f t="shared" si="19"/>
        <v>1</v>
      </c>
    </row>
    <row r="21" spans="2:27" x14ac:dyDescent="0.25">
      <c r="C21" s="36" t="s">
        <v>16</v>
      </c>
      <c r="D21" s="37">
        <v>51</v>
      </c>
      <c r="E21" s="37">
        <v>28</v>
      </c>
      <c r="F21" s="37">
        <v>16</v>
      </c>
      <c r="G21" s="37">
        <v>35</v>
      </c>
      <c r="H21" s="37">
        <v>25</v>
      </c>
      <c r="I21" s="53">
        <f t="shared" si="20"/>
        <v>155</v>
      </c>
      <c r="K21" s="36" t="s">
        <v>16</v>
      </c>
      <c r="L21" s="46">
        <f t="shared" si="21"/>
        <v>0.1186046511627907</v>
      </c>
      <c r="M21" s="46">
        <f t="shared" si="15"/>
        <v>0.11814345991561181</v>
      </c>
      <c r="N21" s="46">
        <f t="shared" si="15"/>
        <v>0.16</v>
      </c>
      <c r="O21" s="40">
        <f t="shared" si="15"/>
        <v>0.19662921348314608</v>
      </c>
      <c r="P21" s="46">
        <f t="shared" si="15"/>
        <v>0.12820512820512819</v>
      </c>
      <c r="Q21" s="194">
        <f t="shared" si="15"/>
        <v>0.13596491228070176</v>
      </c>
      <c r="R21" s="154">
        <v>0.21635399273155878</v>
      </c>
      <c r="S21" s="168" t="s">
        <v>189</v>
      </c>
      <c r="U21" s="36" t="s">
        <v>16</v>
      </c>
      <c r="V21" s="39">
        <f t="shared" si="22"/>
        <v>0.32903225806451614</v>
      </c>
      <c r="W21" s="39">
        <f t="shared" si="16"/>
        <v>0.18064516129032257</v>
      </c>
      <c r="X21" s="39">
        <f t="shared" si="17"/>
        <v>0.1032258064516129</v>
      </c>
      <c r="Y21" s="40">
        <f t="shared" si="23"/>
        <v>0.22580645161290322</v>
      </c>
      <c r="Z21" s="39">
        <f t="shared" si="18"/>
        <v>0.16129032258064516</v>
      </c>
      <c r="AA21" s="49">
        <f t="shared" si="19"/>
        <v>1</v>
      </c>
    </row>
    <row r="22" spans="2:27" x14ac:dyDescent="0.25">
      <c r="C22" s="52"/>
      <c r="D22" s="53">
        <v>430</v>
      </c>
      <c r="E22" s="53">
        <v>237</v>
      </c>
      <c r="F22" s="53">
        <v>100</v>
      </c>
      <c r="G22" s="53">
        <v>178</v>
      </c>
      <c r="H22" s="53">
        <v>195</v>
      </c>
      <c r="I22" s="53">
        <f t="shared" si="20"/>
        <v>1140</v>
      </c>
      <c r="K22" s="52"/>
      <c r="L22" s="49">
        <f t="shared" si="21"/>
        <v>1</v>
      </c>
      <c r="M22" s="49">
        <f t="shared" si="15"/>
        <v>1</v>
      </c>
      <c r="N22" s="49">
        <f t="shared" si="15"/>
        <v>1</v>
      </c>
      <c r="O22" s="49">
        <f t="shared" si="15"/>
        <v>1</v>
      </c>
      <c r="P22" s="49">
        <f t="shared" si="15"/>
        <v>1</v>
      </c>
      <c r="Q22" s="49">
        <f t="shared" si="15"/>
        <v>1</v>
      </c>
      <c r="R22" s="49">
        <v>1</v>
      </c>
      <c r="S22" s="171" t="s">
        <v>92</v>
      </c>
      <c r="U22" s="48"/>
      <c r="V22" s="49">
        <f t="shared" si="22"/>
        <v>0.37719298245614036</v>
      </c>
      <c r="W22" s="49">
        <f t="shared" si="16"/>
        <v>0.20789473684210527</v>
      </c>
      <c r="X22" s="49">
        <f t="shared" si="17"/>
        <v>8.771929824561403E-2</v>
      </c>
      <c r="Y22" s="49">
        <f t="shared" si="23"/>
        <v>0.156140350877193</v>
      </c>
      <c r="Z22" s="49">
        <f t="shared" si="18"/>
        <v>0.17105263157894737</v>
      </c>
      <c r="AA22" s="49">
        <f t="shared" si="19"/>
        <v>1</v>
      </c>
    </row>
    <row r="23" spans="2:27" x14ac:dyDescent="0.25">
      <c r="B23" s="34"/>
      <c r="J23" s="34"/>
    </row>
    <row r="24" spans="2:27" ht="30" x14ac:dyDescent="0.25">
      <c r="B24" s="34">
        <v>2022</v>
      </c>
      <c r="C24" s="51" t="s">
        <v>66</v>
      </c>
      <c r="D24" s="51">
        <v>44</v>
      </c>
      <c r="E24" s="51">
        <v>49</v>
      </c>
      <c r="F24" s="51">
        <v>53</v>
      </c>
      <c r="G24" s="51">
        <v>72</v>
      </c>
      <c r="H24" s="51">
        <v>85</v>
      </c>
      <c r="I24" s="51" t="s">
        <v>72</v>
      </c>
      <c r="J24" s="34">
        <v>2022</v>
      </c>
      <c r="K24" s="51" t="s">
        <v>66</v>
      </c>
      <c r="L24" s="51" t="s">
        <v>67</v>
      </c>
      <c r="M24" s="51" t="s">
        <v>68</v>
      </c>
      <c r="N24" s="51" t="s">
        <v>69</v>
      </c>
      <c r="O24" s="51" t="s">
        <v>70</v>
      </c>
      <c r="P24" s="51" t="s">
        <v>71</v>
      </c>
      <c r="Q24" s="150" t="s">
        <v>72</v>
      </c>
      <c r="R24" s="152" t="s">
        <v>83</v>
      </c>
      <c r="S24" s="150" t="s">
        <v>94</v>
      </c>
      <c r="U24" s="51" t="s">
        <v>66</v>
      </c>
      <c r="V24" s="51" t="s">
        <v>67</v>
      </c>
      <c r="W24" s="51" t="s">
        <v>68</v>
      </c>
      <c r="X24" s="51" t="s">
        <v>69</v>
      </c>
      <c r="Y24" s="51" t="s">
        <v>70</v>
      </c>
      <c r="Z24" s="51" t="s">
        <v>71</v>
      </c>
      <c r="AA24" s="150" t="s">
        <v>72</v>
      </c>
    </row>
    <row r="25" spans="2:27" x14ac:dyDescent="0.25">
      <c r="C25" s="36" t="s">
        <v>73</v>
      </c>
      <c r="D25" s="37">
        <v>20</v>
      </c>
      <c r="E25" s="37">
        <v>14</v>
      </c>
      <c r="F25" s="37">
        <v>4</v>
      </c>
      <c r="G25" s="37">
        <v>5</v>
      </c>
      <c r="H25" s="37">
        <v>16</v>
      </c>
      <c r="I25" s="53">
        <f>SUM(D25:H25)</f>
        <v>59</v>
      </c>
      <c r="K25" s="36" t="s">
        <v>73</v>
      </c>
      <c r="L25" s="46">
        <f>D25/D$33</f>
        <v>4.4742729306487698E-2</v>
      </c>
      <c r="M25" s="46">
        <f t="shared" ref="M25:Q25" si="24">E25/E$33</f>
        <v>5.4901960784313725E-2</v>
      </c>
      <c r="N25" s="46">
        <f t="shared" si="24"/>
        <v>5.1948051948051951E-2</v>
      </c>
      <c r="O25" s="54">
        <f t="shared" si="24"/>
        <v>2.7322404371584699E-2</v>
      </c>
      <c r="P25" s="46">
        <f t="shared" si="24"/>
        <v>6.7226890756302518E-2</v>
      </c>
      <c r="Q25" s="194">
        <f t="shared" si="24"/>
        <v>4.9166666666666664E-2</v>
      </c>
      <c r="R25" s="153">
        <v>6.806763434537258E-2</v>
      </c>
      <c r="S25" s="168" t="s">
        <v>121</v>
      </c>
      <c r="U25" s="36" t="s">
        <v>73</v>
      </c>
      <c r="V25" s="47">
        <f>D25/$I25</f>
        <v>0.33898305084745761</v>
      </c>
      <c r="W25" s="47">
        <f t="shared" ref="W25:W33" si="25">E25/$I25</f>
        <v>0.23728813559322035</v>
      </c>
      <c r="X25" s="47">
        <f t="shared" ref="X25:X33" si="26">F25/$I25</f>
        <v>6.7796610169491525E-2</v>
      </c>
      <c r="Y25" s="47">
        <f t="shared" ref="Y25:Y33" si="27">G25/$I25</f>
        <v>8.4745762711864403E-2</v>
      </c>
      <c r="Z25" s="47">
        <f t="shared" ref="Z25:Z33" si="28">H25/$I25</f>
        <v>0.2711864406779661</v>
      </c>
      <c r="AA25" s="50">
        <f t="shared" ref="AA25:AA33" si="29">I25/$I25</f>
        <v>1</v>
      </c>
    </row>
    <row r="26" spans="2:27" x14ac:dyDescent="0.25">
      <c r="C26" s="36" t="s">
        <v>17</v>
      </c>
      <c r="D26" s="37">
        <v>100</v>
      </c>
      <c r="E26" s="37">
        <v>58</v>
      </c>
      <c r="F26" s="37">
        <v>12</v>
      </c>
      <c r="G26" s="37">
        <v>34</v>
      </c>
      <c r="H26" s="37">
        <v>41</v>
      </c>
      <c r="I26" s="53">
        <f t="shared" ref="I26:I33" si="30">SUM(D26:H26)</f>
        <v>245</v>
      </c>
      <c r="K26" s="36" t="s">
        <v>17</v>
      </c>
      <c r="L26" s="46">
        <f t="shared" ref="L26:L32" si="31">D26/D$33</f>
        <v>0.22371364653243847</v>
      </c>
      <c r="M26" s="40">
        <f t="shared" ref="M26:M32" si="32">E26/E$33</f>
        <v>0.22745098039215686</v>
      </c>
      <c r="N26" s="46">
        <f t="shared" ref="N26:N32" si="33">F26/F$33</f>
        <v>0.15584415584415584</v>
      </c>
      <c r="O26" s="46">
        <f t="shared" ref="O26:O32" si="34">G26/G$33</f>
        <v>0.18579234972677597</v>
      </c>
      <c r="P26" s="46">
        <f t="shared" ref="P26:P32" si="35">H26/H$33</f>
        <v>0.17226890756302521</v>
      </c>
      <c r="Q26" s="194">
        <f t="shared" ref="Q26:Q32" si="36">I26/I$33</f>
        <v>0.20416666666666666</v>
      </c>
      <c r="R26" s="155">
        <v>0.17464640524898642</v>
      </c>
      <c r="S26" s="170" t="s">
        <v>196</v>
      </c>
      <c r="U26" s="36" t="s">
        <v>17</v>
      </c>
      <c r="V26" s="40">
        <f t="shared" ref="V26:V33" si="37">D26/$I26</f>
        <v>0.40816326530612246</v>
      </c>
      <c r="W26" s="40">
        <f t="shared" si="25"/>
        <v>0.23673469387755103</v>
      </c>
      <c r="X26" s="39">
        <f t="shared" si="26"/>
        <v>4.8979591836734691E-2</v>
      </c>
      <c r="Y26" s="39">
        <f t="shared" si="27"/>
        <v>0.13877551020408163</v>
      </c>
      <c r="Z26" s="39">
        <f t="shared" si="28"/>
        <v>0.16734693877551021</v>
      </c>
      <c r="AA26" s="49">
        <f t="shared" si="29"/>
        <v>1</v>
      </c>
    </row>
    <row r="27" spans="2:27" x14ac:dyDescent="0.25">
      <c r="C27" s="36" t="s">
        <v>74</v>
      </c>
      <c r="D27" s="37">
        <v>34</v>
      </c>
      <c r="E27" s="37">
        <v>20</v>
      </c>
      <c r="F27" s="37">
        <v>8</v>
      </c>
      <c r="G27" s="37">
        <v>18</v>
      </c>
      <c r="H27" s="37">
        <v>27</v>
      </c>
      <c r="I27" s="53">
        <f t="shared" si="30"/>
        <v>107</v>
      </c>
      <c r="K27" s="36" t="s">
        <v>74</v>
      </c>
      <c r="L27" s="46">
        <f t="shared" si="31"/>
        <v>7.6062639821029079E-2</v>
      </c>
      <c r="M27" s="46">
        <f t="shared" si="32"/>
        <v>7.8431372549019607E-2</v>
      </c>
      <c r="N27" s="46">
        <f t="shared" si="33"/>
        <v>0.1038961038961039</v>
      </c>
      <c r="O27" s="46">
        <f t="shared" si="34"/>
        <v>9.8360655737704916E-2</v>
      </c>
      <c r="P27" s="46">
        <f t="shared" si="35"/>
        <v>0.1134453781512605</v>
      </c>
      <c r="Q27" s="194">
        <f t="shared" si="36"/>
        <v>8.9166666666666672E-2</v>
      </c>
      <c r="R27" s="155">
        <v>7.0636418969803882E-2</v>
      </c>
      <c r="S27" s="168" t="s">
        <v>92</v>
      </c>
      <c r="U27" s="36" t="s">
        <v>74</v>
      </c>
      <c r="V27" s="39">
        <f t="shared" si="37"/>
        <v>0.31775700934579437</v>
      </c>
      <c r="W27" s="39">
        <f t="shared" si="25"/>
        <v>0.18691588785046728</v>
      </c>
      <c r="X27" s="39">
        <f t="shared" si="26"/>
        <v>7.476635514018691E-2</v>
      </c>
      <c r="Y27" s="39">
        <f>G27/$I27</f>
        <v>0.16822429906542055</v>
      </c>
      <c r="Z27" s="40">
        <f t="shared" si="28"/>
        <v>0.25233644859813081</v>
      </c>
      <c r="AA27" s="49">
        <f t="shared" si="29"/>
        <v>1</v>
      </c>
    </row>
    <row r="28" spans="2:27" x14ac:dyDescent="0.25">
      <c r="C28" s="36" t="s">
        <v>75</v>
      </c>
      <c r="D28" s="37">
        <v>41</v>
      </c>
      <c r="E28" s="37">
        <v>21</v>
      </c>
      <c r="F28" s="37">
        <v>10</v>
      </c>
      <c r="G28" s="37">
        <v>6</v>
      </c>
      <c r="H28" s="37">
        <v>11</v>
      </c>
      <c r="I28" s="53">
        <f t="shared" si="30"/>
        <v>89</v>
      </c>
      <c r="K28" s="36" t="s">
        <v>75</v>
      </c>
      <c r="L28" s="46">
        <f t="shared" si="31"/>
        <v>9.1722595078299773E-2</v>
      </c>
      <c r="M28" s="46">
        <f t="shared" si="32"/>
        <v>8.2352941176470587E-2</v>
      </c>
      <c r="N28" s="40">
        <f>F28/F$33</f>
        <v>0.12987012987012986</v>
      </c>
      <c r="O28" s="54">
        <f t="shared" si="34"/>
        <v>3.2786885245901641E-2</v>
      </c>
      <c r="P28" s="46">
        <f>H28/H$33</f>
        <v>4.6218487394957986E-2</v>
      </c>
      <c r="Q28" s="194">
        <f t="shared" si="36"/>
        <v>7.4166666666666672E-2</v>
      </c>
      <c r="R28" s="154">
        <v>8.499685349674517E-2</v>
      </c>
      <c r="S28" s="168" t="s">
        <v>197</v>
      </c>
      <c r="U28" s="36" t="s">
        <v>75</v>
      </c>
      <c r="V28" s="40">
        <f t="shared" si="37"/>
        <v>0.4606741573033708</v>
      </c>
      <c r="W28" s="40">
        <f t="shared" si="25"/>
        <v>0.23595505617977527</v>
      </c>
      <c r="X28" s="40">
        <f t="shared" si="26"/>
        <v>0.11235955056179775</v>
      </c>
      <c r="Y28" s="39">
        <f t="shared" si="27"/>
        <v>6.741573033707865E-2</v>
      </c>
      <c r="Z28" s="39">
        <f t="shared" si="28"/>
        <v>0.12359550561797752</v>
      </c>
      <c r="AA28" s="49">
        <f t="shared" si="29"/>
        <v>1</v>
      </c>
    </row>
    <row r="29" spans="2:27" x14ac:dyDescent="0.25">
      <c r="C29" s="36" t="s">
        <v>76</v>
      </c>
      <c r="D29" s="37">
        <v>21</v>
      </c>
      <c r="E29" s="37">
        <v>10</v>
      </c>
      <c r="F29" s="37">
        <v>4</v>
      </c>
      <c r="G29" s="37">
        <v>8</v>
      </c>
      <c r="H29" s="37">
        <v>14</v>
      </c>
      <c r="I29" s="53">
        <f t="shared" si="30"/>
        <v>57</v>
      </c>
      <c r="K29" s="36" t="s">
        <v>76</v>
      </c>
      <c r="L29" s="46">
        <f t="shared" si="31"/>
        <v>4.6979865771812082E-2</v>
      </c>
      <c r="M29" s="46">
        <f t="shared" si="32"/>
        <v>3.9215686274509803E-2</v>
      </c>
      <c r="N29" s="46">
        <f t="shared" si="33"/>
        <v>5.1948051948051951E-2</v>
      </c>
      <c r="O29" s="46">
        <f t="shared" si="34"/>
        <v>4.3715846994535519E-2</v>
      </c>
      <c r="P29" s="46">
        <f t="shared" si="35"/>
        <v>5.8823529411764705E-2</v>
      </c>
      <c r="Q29" s="195">
        <f t="shared" si="36"/>
        <v>4.7500000000000001E-2</v>
      </c>
      <c r="R29" s="154">
        <v>4.8930704713565039E-2</v>
      </c>
      <c r="S29" s="170" t="s">
        <v>152</v>
      </c>
      <c r="U29" s="36" t="s">
        <v>76</v>
      </c>
      <c r="V29" s="47">
        <f t="shared" si="37"/>
        <v>0.36842105263157893</v>
      </c>
      <c r="W29" s="47">
        <f t="shared" si="25"/>
        <v>0.17543859649122806</v>
      </c>
      <c r="X29" s="47">
        <f t="shared" si="26"/>
        <v>7.0175438596491224E-2</v>
      </c>
      <c r="Y29" s="47">
        <f t="shared" si="27"/>
        <v>0.14035087719298245</v>
      </c>
      <c r="Z29" s="47">
        <f t="shared" si="28"/>
        <v>0.24561403508771928</v>
      </c>
      <c r="AA29" s="50">
        <f t="shared" si="29"/>
        <v>1</v>
      </c>
    </row>
    <row r="30" spans="2:27" x14ac:dyDescent="0.25">
      <c r="C30" s="36" t="s">
        <v>77</v>
      </c>
      <c r="D30" s="37">
        <v>105</v>
      </c>
      <c r="E30" s="37">
        <v>67</v>
      </c>
      <c r="F30" s="37">
        <v>19</v>
      </c>
      <c r="G30" s="37">
        <v>49</v>
      </c>
      <c r="H30" s="37">
        <v>55</v>
      </c>
      <c r="I30" s="53">
        <f t="shared" si="30"/>
        <v>295</v>
      </c>
      <c r="K30" s="36" t="s">
        <v>77</v>
      </c>
      <c r="L30" s="46">
        <f t="shared" si="31"/>
        <v>0.2348993288590604</v>
      </c>
      <c r="M30" s="46">
        <f t="shared" si="32"/>
        <v>0.2627450980392157</v>
      </c>
      <c r="N30" s="46">
        <f t="shared" si="33"/>
        <v>0.24675324675324675</v>
      </c>
      <c r="O30" s="40">
        <f t="shared" si="34"/>
        <v>0.26775956284153007</v>
      </c>
      <c r="P30" s="46">
        <f t="shared" si="35"/>
        <v>0.23109243697478993</v>
      </c>
      <c r="Q30" s="304">
        <f t="shared" si="36"/>
        <v>0.24583333333333332</v>
      </c>
      <c r="R30" s="155">
        <v>0.21842922430957465</v>
      </c>
      <c r="S30" s="168" t="s">
        <v>197</v>
      </c>
      <c r="U30" s="36" t="s">
        <v>77</v>
      </c>
      <c r="V30" s="39">
        <f t="shared" si="37"/>
        <v>0.3559322033898305</v>
      </c>
      <c r="W30" s="39">
        <f t="shared" si="25"/>
        <v>0.22711864406779661</v>
      </c>
      <c r="X30" s="39">
        <f t="shared" si="26"/>
        <v>6.4406779661016947E-2</v>
      </c>
      <c r="Y30" s="39">
        <f t="shared" si="27"/>
        <v>0.16610169491525423</v>
      </c>
      <c r="Z30" s="39">
        <f t="shared" si="28"/>
        <v>0.1864406779661017</v>
      </c>
      <c r="AA30" s="49">
        <f t="shared" si="29"/>
        <v>1</v>
      </c>
    </row>
    <row r="31" spans="2:27" x14ac:dyDescent="0.25">
      <c r="C31" s="36" t="s">
        <v>78</v>
      </c>
      <c r="D31" s="37">
        <v>63</v>
      </c>
      <c r="E31" s="37">
        <v>44</v>
      </c>
      <c r="F31" s="37">
        <v>11</v>
      </c>
      <c r="G31" s="37">
        <v>26</v>
      </c>
      <c r="H31" s="37">
        <v>40</v>
      </c>
      <c r="I31" s="53">
        <f t="shared" si="30"/>
        <v>184</v>
      </c>
      <c r="K31" s="36" t="s">
        <v>78</v>
      </c>
      <c r="L31" s="46">
        <f t="shared" si="31"/>
        <v>0.14093959731543623</v>
      </c>
      <c r="M31" s="46">
        <f t="shared" si="32"/>
        <v>0.17254901960784313</v>
      </c>
      <c r="N31" s="46">
        <f t="shared" si="33"/>
        <v>0.14285714285714285</v>
      </c>
      <c r="O31" s="46">
        <f t="shared" si="34"/>
        <v>0.14207650273224043</v>
      </c>
      <c r="P31" s="46">
        <f t="shared" si="35"/>
        <v>0.16806722689075632</v>
      </c>
      <c r="Q31" s="194">
        <f t="shared" si="36"/>
        <v>0.15333333333333332</v>
      </c>
      <c r="R31" s="155">
        <v>0.11733878039470562</v>
      </c>
      <c r="S31" s="168" t="s">
        <v>121</v>
      </c>
      <c r="U31" s="36" t="s">
        <v>78</v>
      </c>
      <c r="V31" s="39">
        <f t="shared" si="37"/>
        <v>0.34239130434782611</v>
      </c>
      <c r="W31" s="40">
        <f t="shared" si="25"/>
        <v>0.2391304347826087</v>
      </c>
      <c r="X31" s="39">
        <f t="shared" si="26"/>
        <v>5.9782608695652176E-2</v>
      </c>
      <c r="Y31" s="39">
        <f t="shared" si="27"/>
        <v>0.14130434782608695</v>
      </c>
      <c r="Z31" s="39">
        <f t="shared" si="28"/>
        <v>0.21739130434782608</v>
      </c>
      <c r="AA31" s="49">
        <f t="shared" si="29"/>
        <v>1</v>
      </c>
    </row>
    <row r="32" spans="2:27" x14ac:dyDescent="0.25">
      <c r="C32" s="36" t="s">
        <v>16</v>
      </c>
      <c r="D32" s="37">
        <v>63</v>
      </c>
      <c r="E32" s="37">
        <v>21</v>
      </c>
      <c r="F32" s="37">
        <v>9</v>
      </c>
      <c r="G32" s="37">
        <v>37</v>
      </c>
      <c r="H32" s="37">
        <v>34</v>
      </c>
      <c r="I32" s="53">
        <f t="shared" si="30"/>
        <v>164</v>
      </c>
      <c r="K32" s="36" t="s">
        <v>16</v>
      </c>
      <c r="L32" s="46">
        <f t="shared" si="31"/>
        <v>0.14093959731543623</v>
      </c>
      <c r="M32" s="46">
        <f t="shared" si="32"/>
        <v>8.2352941176470587E-2</v>
      </c>
      <c r="N32" s="46">
        <f t="shared" si="33"/>
        <v>0.11688311688311688</v>
      </c>
      <c r="O32" s="40">
        <f t="shared" si="34"/>
        <v>0.20218579234972678</v>
      </c>
      <c r="P32" s="46">
        <f t="shared" si="35"/>
        <v>0.14285714285714285</v>
      </c>
      <c r="Q32" s="194">
        <f t="shared" si="36"/>
        <v>0.13666666666666666</v>
      </c>
      <c r="R32" s="154">
        <v>0.21695397852124662</v>
      </c>
      <c r="S32" s="169" t="s">
        <v>189</v>
      </c>
      <c r="U32" s="36" t="s">
        <v>16</v>
      </c>
      <c r="V32" s="39">
        <f t="shared" si="37"/>
        <v>0.38414634146341464</v>
      </c>
      <c r="W32" s="39">
        <f t="shared" si="25"/>
        <v>0.12804878048780488</v>
      </c>
      <c r="X32" s="39">
        <f t="shared" si="26"/>
        <v>5.4878048780487805E-2</v>
      </c>
      <c r="Y32" s="40">
        <f t="shared" si="27"/>
        <v>0.22560975609756098</v>
      </c>
      <c r="Z32" s="39">
        <f t="shared" si="28"/>
        <v>0.2073170731707317</v>
      </c>
      <c r="AA32" s="49">
        <f t="shared" si="29"/>
        <v>1</v>
      </c>
    </row>
    <row r="33" spans="2:27" x14ac:dyDescent="0.25">
      <c r="C33" s="52" t="s">
        <v>28</v>
      </c>
      <c r="D33" s="53">
        <v>447</v>
      </c>
      <c r="E33" s="53">
        <v>255</v>
      </c>
      <c r="F33" s="53">
        <v>77</v>
      </c>
      <c r="G33" s="53">
        <v>183</v>
      </c>
      <c r="H33" s="53">
        <v>238</v>
      </c>
      <c r="I33" s="53">
        <f t="shared" si="30"/>
        <v>1200</v>
      </c>
      <c r="K33" s="52"/>
      <c r="L33" s="49">
        <f>D33/D$33</f>
        <v>1</v>
      </c>
      <c r="M33" s="49">
        <f>E33/E$33</f>
        <v>1</v>
      </c>
      <c r="N33" s="49">
        <f t="shared" ref="N33:Q33" si="38">F33/F$33</f>
        <v>1</v>
      </c>
      <c r="O33" s="49">
        <f t="shared" si="38"/>
        <v>1</v>
      </c>
      <c r="P33" s="49">
        <f t="shared" si="38"/>
        <v>1</v>
      </c>
      <c r="Q33" s="49">
        <f t="shared" si="38"/>
        <v>1</v>
      </c>
      <c r="R33" s="49">
        <v>1</v>
      </c>
      <c r="S33" s="171" t="s">
        <v>92</v>
      </c>
      <c r="U33" s="48"/>
      <c r="V33" s="49">
        <f t="shared" si="37"/>
        <v>0.3725</v>
      </c>
      <c r="W33" s="49">
        <f t="shared" si="25"/>
        <v>0.21249999999999999</v>
      </c>
      <c r="X33" s="49">
        <f t="shared" si="26"/>
        <v>6.4166666666666664E-2</v>
      </c>
      <c r="Y33" s="49">
        <f t="shared" si="27"/>
        <v>0.1525</v>
      </c>
      <c r="Z33" s="49">
        <f t="shared" si="28"/>
        <v>0.19833333333333333</v>
      </c>
      <c r="AA33" s="49">
        <f t="shared" si="29"/>
        <v>1</v>
      </c>
    </row>
    <row r="34" spans="2:27" x14ac:dyDescent="0.25">
      <c r="B34" s="34"/>
      <c r="J34" s="34"/>
    </row>
    <row r="35" spans="2:27" ht="30" x14ac:dyDescent="0.25">
      <c r="B35" s="34">
        <v>2021</v>
      </c>
      <c r="C35" s="51" t="s">
        <v>66</v>
      </c>
      <c r="D35" s="51">
        <v>44</v>
      </c>
      <c r="E35" s="51">
        <v>49</v>
      </c>
      <c r="F35" s="51">
        <v>53</v>
      </c>
      <c r="G35" s="51">
        <v>72</v>
      </c>
      <c r="H35" s="51">
        <v>85</v>
      </c>
      <c r="I35" s="51" t="s">
        <v>72</v>
      </c>
      <c r="J35" s="34">
        <v>2021</v>
      </c>
      <c r="K35" s="51" t="s">
        <v>66</v>
      </c>
      <c r="L35" s="51" t="s">
        <v>67</v>
      </c>
      <c r="M35" s="51" t="s">
        <v>68</v>
      </c>
      <c r="N35" s="51" t="s">
        <v>69</v>
      </c>
      <c r="O35" s="51" t="s">
        <v>70</v>
      </c>
      <c r="P35" s="51" t="s">
        <v>71</v>
      </c>
      <c r="Q35" s="150" t="s">
        <v>72</v>
      </c>
      <c r="R35" s="152" t="s">
        <v>83</v>
      </c>
      <c r="S35" s="150" t="s">
        <v>94</v>
      </c>
      <c r="U35" s="51" t="s">
        <v>66</v>
      </c>
      <c r="V35" s="51" t="s">
        <v>67</v>
      </c>
      <c r="W35" s="51" t="s">
        <v>68</v>
      </c>
      <c r="X35" s="51" t="s">
        <v>69</v>
      </c>
      <c r="Y35" s="51" t="s">
        <v>70</v>
      </c>
      <c r="Z35" s="51" t="s">
        <v>71</v>
      </c>
      <c r="AA35" s="150" t="s">
        <v>72</v>
      </c>
    </row>
    <row r="36" spans="2:27" x14ac:dyDescent="0.25">
      <c r="C36" s="36" t="s">
        <v>73</v>
      </c>
      <c r="D36" s="37">
        <v>22</v>
      </c>
      <c r="E36" s="37">
        <v>13</v>
      </c>
      <c r="F36" s="37">
        <v>2</v>
      </c>
      <c r="G36" s="37">
        <v>8</v>
      </c>
      <c r="H36" s="37">
        <v>11</v>
      </c>
      <c r="I36" s="53">
        <f>SUM(D36:H36)</f>
        <v>56</v>
      </c>
      <c r="K36" s="36" t="s">
        <v>73</v>
      </c>
      <c r="L36" s="39">
        <f>D36/D$44</f>
        <v>4.8458149779735685E-2</v>
      </c>
      <c r="M36" s="39">
        <f t="shared" ref="M36:Q44" si="39">E36/E$44</f>
        <v>4.797047970479705E-2</v>
      </c>
      <c r="N36" s="54">
        <f t="shared" si="39"/>
        <v>2.3255813953488372E-2</v>
      </c>
      <c r="O36" s="39">
        <f t="shared" si="39"/>
        <v>4.9382716049382713E-2</v>
      </c>
      <c r="P36" s="39">
        <f t="shared" si="39"/>
        <v>5.5276381909547742E-2</v>
      </c>
      <c r="Q36" s="49">
        <f t="shared" si="39"/>
        <v>4.778156996587031E-2</v>
      </c>
      <c r="R36" s="153">
        <v>6.806763434537258E-2</v>
      </c>
      <c r="S36" s="225" t="s">
        <v>121</v>
      </c>
      <c r="U36" s="36" t="s">
        <v>73</v>
      </c>
      <c r="V36" s="47">
        <f>D36/$I36</f>
        <v>0.39285714285714285</v>
      </c>
      <c r="W36" s="47">
        <f t="shared" ref="W36:AA36" si="40">E36/$I36</f>
        <v>0.23214285714285715</v>
      </c>
      <c r="X36" s="47">
        <f t="shared" si="40"/>
        <v>3.5714285714285712E-2</v>
      </c>
      <c r="Y36" s="47">
        <f t="shared" si="40"/>
        <v>0.14285714285714285</v>
      </c>
      <c r="Z36" s="47">
        <f t="shared" si="40"/>
        <v>0.19642857142857142</v>
      </c>
      <c r="AA36" s="50">
        <f t="shared" si="40"/>
        <v>1</v>
      </c>
    </row>
    <row r="37" spans="2:27" x14ac:dyDescent="0.25">
      <c r="C37" s="36" t="s">
        <v>17</v>
      </c>
      <c r="D37" s="37">
        <v>101</v>
      </c>
      <c r="E37" s="37">
        <v>50</v>
      </c>
      <c r="F37" s="37">
        <v>14</v>
      </c>
      <c r="G37" s="37">
        <v>19</v>
      </c>
      <c r="H37" s="37">
        <v>53</v>
      </c>
      <c r="I37" s="53">
        <f t="shared" ref="I37:I44" si="41">SUM(D37:H37)</f>
        <v>237</v>
      </c>
      <c r="K37" s="36" t="s">
        <v>17</v>
      </c>
      <c r="L37" s="40">
        <f t="shared" ref="L37:L44" si="42">D37/D$44</f>
        <v>0.22246696035242292</v>
      </c>
      <c r="M37" s="39">
        <f t="shared" si="39"/>
        <v>0.18450184501845018</v>
      </c>
      <c r="N37" s="39">
        <f t="shared" si="39"/>
        <v>0.16279069767441862</v>
      </c>
      <c r="O37" s="39">
        <f t="shared" si="39"/>
        <v>0.11728395061728394</v>
      </c>
      <c r="P37" s="39">
        <f t="shared" si="39"/>
        <v>0.26633165829145727</v>
      </c>
      <c r="Q37" s="49">
        <f t="shared" si="39"/>
        <v>0.2022184300341297</v>
      </c>
      <c r="R37" s="155">
        <v>0.17464640524898642</v>
      </c>
      <c r="S37" s="225" t="s">
        <v>152</v>
      </c>
      <c r="U37" s="36" t="s">
        <v>17</v>
      </c>
      <c r="V37" s="40">
        <f t="shared" ref="V37:V44" si="43">D37/$I37</f>
        <v>0.42616033755274263</v>
      </c>
      <c r="W37" s="39">
        <f t="shared" ref="W37:W44" si="44">E37/$I37</f>
        <v>0.2109704641350211</v>
      </c>
      <c r="X37" s="39">
        <f t="shared" ref="X37:X44" si="45">F37/$I37</f>
        <v>5.9071729957805907E-2</v>
      </c>
      <c r="Y37" s="39">
        <f t="shared" ref="Y37:Y44" si="46">G37/$I37</f>
        <v>8.0168776371308023E-2</v>
      </c>
      <c r="Z37" s="40">
        <f t="shared" ref="Z37:Z44" si="47">H37/$I37</f>
        <v>0.22362869198312235</v>
      </c>
      <c r="AA37" s="49">
        <f t="shared" ref="AA37:AA44" si="48">I37/$I37</f>
        <v>1</v>
      </c>
    </row>
    <row r="38" spans="2:27" x14ac:dyDescent="0.25">
      <c r="C38" s="36" t="s">
        <v>74</v>
      </c>
      <c r="D38" s="37">
        <v>32</v>
      </c>
      <c r="E38" s="37">
        <v>20</v>
      </c>
      <c r="F38" s="37">
        <v>9</v>
      </c>
      <c r="G38" s="37">
        <v>21</v>
      </c>
      <c r="H38" s="37">
        <v>15</v>
      </c>
      <c r="I38" s="53">
        <f t="shared" si="41"/>
        <v>97</v>
      </c>
      <c r="K38" s="36" t="s">
        <v>74</v>
      </c>
      <c r="L38" s="39">
        <f t="shared" si="42"/>
        <v>7.0484581497797363E-2</v>
      </c>
      <c r="M38" s="39">
        <f t="shared" si="39"/>
        <v>7.3800738007380073E-2</v>
      </c>
      <c r="N38" s="39">
        <f t="shared" si="39"/>
        <v>0.10465116279069768</v>
      </c>
      <c r="O38" s="39">
        <f t="shared" si="39"/>
        <v>0.12962962962962962</v>
      </c>
      <c r="P38" s="39">
        <f t="shared" si="39"/>
        <v>7.5376884422110546E-2</v>
      </c>
      <c r="Q38" s="49">
        <f t="shared" si="39"/>
        <v>8.2764505119453921E-2</v>
      </c>
      <c r="R38" s="155">
        <v>7.0636418969803882E-2</v>
      </c>
      <c r="S38" s="225" t="s">
        <v>121</v>
      </c>
      <c r="U38" s="36" t="s">
        <v>74</v>
      </c>
      <c r="V38" s="39">
        <f t="shared" si="43"/>
        <v>0.32989690721649484</v>
      </c>
      <c r="W38" s="39">
        <f t="shared" si="44"/>
        <v>0.20618556701030927</v>
      </c>
      <c r="X38" s="39">
        <f t="shared" si="45"/>
        <v>9.2783505154639179E-2</v>
      </c>
      <c r="Y38" s="40">
        <f t="shared" si="46"/>
        <v>0.21649484536082475</v>
      </c>
      <c r="Z38" s="39">
        <f t="shared" si="47"/>
        <v>0.15463917525773196</v>
      </c>
      <c r="AA38" s="49">
        <f t="shared" si="48"/>
        <v>1</v>
      </c>
    </row>
    <row r="39" spans="2:27" x14ac:dyDescent="0.25">
      <c r="C39" s="36" t="s">
        <v>75</v>
      </c>
      <c r="D39" s="37">
        <v>48</v>
      </c>
      <c r="E39" s="37">
        <v>15</v>
      </c>
      <c r="F39" s="37">
        <v>11</v>
      </c>
      <c r="G39" s="37">
        <v>8</v>
      </c>
      <c r="H39" s="37">
        <v>11</v>
      </c>
      <c r="I39" s="53">
        <f t="shared" si="41"/>
        <v>93</v>
      </c>
      <c r="K39" s="36" t="s">
        <v>75</v>
      </c>
      <c r="L39" s="39">
        <f t="shared" si="42"/>
        <v>0.10572687224669604</v>
      </c>
      <c r="M39" s="39">
        <f t="shared" si="39"/>
        <v>5.5350553505535055E-2</v>
      </c>
      <c r="N39" s="40">
        <f>F39/F$44</f>
        <v>0.12790697674418605</v>
      </c>
      <c r="O39" s="39">
        <f t="shared" si="39"/>
        <v>4.9382716049382713E-2</v>
      </c>
      <c r="P39" s="39">
        <f t="shared" si="39"/>
        <v>5.5276381909547742E-2</v>
      </c>
      <c r="Q39" s="49">
        <f t="shared" si="39"/>
        <v>7.9351535836177475E-2</v>
      </c>
      <c r="R39" s="154">
        <v>8.499685349674517E-2</v>
      </c>
      <c r="S39" s="225" t="s">
        <v>210</v>
      </c>
      <c r="U39" s="36" t="s">
        <v>75</v>
      </c>
      <c r="V39" s="40">
        <f t="shared" si="43"/>
        <v>0.5161290322580645</v>
      </c>
      <c r="W39" s="39">
        <f t="shared" si="44"/>
        <v>0.16129032258064516</v>
      </c>
      <c r="X39" s="40">
        <f t="shared" si="45"/>
        <v>0.11827956989247312</v>
      </c>
      <c r="Y39" s="39">
        <f t="shared" si="46"/>
        <v>8.6021505376344093E-2</v>
      </c>
      <c r="Z39" s="39">
        <f t="shared" si="47"/>
        <v>0.11827956989247312</v>
      </c>
      <c r="AA39" s="49">
        <f t="shared" si="48"/>
        <v>1</v>
      </c>
    </row>
    <row r="40" spans="2:27" x14ac:dyDescent="0.25">
      <c r="C40" s="36" t="s">
        <v>76</v>
      </c>
      <c r="D40" s="37">
        <v>14</v>
      </c>
      <c r="E40" s="37">
        <v>22</v>
      </c>
      <c r="F40" s="37">
        <v>5</v>
      </c>
      <c r="G40" s="37">
        <v>11</v>
      </c>
      <c r="H40" s="37">
        <v>12</v>
      </c>
      <c r="I40" s="53">
        <f t="shared" si="41"/>
        <v>64</v>
      </c>
      <c r="K40" s="36" t="s">
        <v>76</v>
      </c>
      <c r="L40" s="54">
        <f t="shared" si="42"/>
        <v>3.0837004405286344E-2</v>
      </c>
      <c r="M40" s="39">
        <f t="shared" si="39"/>
        <v>8.1180811808118078E-2</v>
      </c>
      <c r="N40" s="39">
        <f t="shared" si="39"/>
        <v>5.8139534883720929E-2</v>
      </c>
      <c r="O40" s="39">
        <f t="shared" si="39"/>
        <v>6.7901234567901231E-2</v>
      </c>
      <c r="P40" s="39">
        <f t="shared" si="39"/>
        <v>6.030150753768844E-2</v>
      </c>
      <c r="Q40" s="195">
        <f t="shared" si="39"/>
        <v>5.4607508532423209E-2</v>
      </c>
      <c r="R40" s="154">
        <v>4.8930704713565039E-2</v>
      </c>
      <c r="S40" s="170" t="s">
        <v>93</v>
      </c>
      <c r="U40" s="36" t="s">
        <v>76</v>
      </c>
      <c r="V40" s="47">
        <f t="shared" si="43"/>
        <v>0.21875</v>
      </c>
      <c r="W40" s="47">
        <f t="shared" si="44"/>
        <v>0.34375</v>
      </c>
      <c r="X40" s="47">
        <f t="shared" si="45"/>
        <v>7.8125E-2</v>
      </c>
      <c r="Y40" s="47">
        <f t="shared" si="46"/>
        <v>0.171875</v>
      </c>
      <c r="Z40" s="47">
        <f t="shared" si="47"/>
        <v>0.1875</v>
      </c>
      <c r="AA40" s="50">
        <f t="shared" si="48"/>
        <v>1</v>
      </c>
    </row>
    <row r="41" spans="2:27" x14ac:dyDescent="0.25">
      <c r="C41" s="36" t="s">
        <v>77</v>
      </c>
      <c r="D41" s="37">
        <v>109</v>
      </c>
      <c r="E41" s="37">
        <v>48</v>
      </c>
      <c r="F41" s="37">
        <v>25</v>
      </c>
      <c r="G41" s="37">
        <v>50</v>
      </c>
      <c r="H41" s="37">
        <v>32</v>
      </c>
      <c r="I41" s="53">
        <f t="shared" si="41"/>
        <v>264</v>
      </c>
      <c r="K41" s="36" t="s">
        <v>77</v>
      </c>
      <c r="L41" s="39">
        <f t="shared" si="42"/>
        <v>0.24008810572687225</v>
      </c>
      <c r="M41" s="39">
        <f t="shared" si="39"/>
        <v>0.17712177121771217</v>
      </c>
      <c r="N41" s="39">
        <f t="shared" si="39"/>
        <v>0.29069767441860467</v>
      </c>
      <c r="O41" s="40">
        <f t="shared" si="39"/>
        <v>0.30864197530864196</v>
      </c>
      <c r="P41" s="39">
        <f t="shared" si="39"/>
        <v>0.16080402010050251</v>
      </c>
      <c r="Q41" s="304">
        <f t="shared" si="39"/>
        <v>0.22525597269624573</v>
      </c>
      <c r="R41" s="155">
        <v>0.21842922430957465</v>
      </c>
      <c r="S41" s="225" t="s">
        <v>92</v>
      </c>
      <c r="U41" s="36" t="s">
        <v>77</v>
      </c>
      <c r="V41" s="39">
        <f t="shared" si="43"/>
        <v>0.4128787878787879</v>
      </c>
      <c r="W41" s="39">
        <f t="shared" si="44"/>
        <v>0.18181818181818182</v>
      </c>
      <c r="X41" s="39">
        <f t="shared" si="45"/>
        <v>9.4696969696969696E-2</v>
      </c>
      <c r="Y41" s="39">
        <f t="shared" si="46"/>
        <v>0.18939393939393939</v>
      </c>
      <c r="Z41" s="39">
        <f t="shared" si="47"/>
        <v>0.12121212121212122</v>
      </c>
      <c r="AA41" s="49">
        <f t="shared" si="48"/>
        <v>1</v>
      </c>
    </row>
    <row r="42" spans="2:27" x14ac:dyDescent="0.25">
      <c r="C42" s="36" t="s">
        <v>78</v>
      </c>
      <c r="D42" s="37">
        <v>69</v>
      </c>
      <c r="E42" s="37">
        <v>55</v>
      </c>
      <c r="F42" s="37">
        <v>10</v>
      </c>
      <c r="G42" s="37">
        <v>29</v>
      </c>
      <c r="H42" s="37">
        <v>24</v>
      </c>
      <c r="I42" s="53">
        <f t="shared" si="41"/>
        <v>187</v>
      </c>
      <c r="K42" s="36" t="s">
        <v>78</v>
      </c>
      <c r="L42" s="39">
        <f t="shared" si="42"/>
        <v>0.15198237885462554</v>
      </c>
      <c r="M42" s="40">
        <f t="shared" si="39"/>
        <v>0.2029520295202952</v>
      </c>
      <c r="N42" s="39">
        <f t="shared" si="39"/>
        <v>0.11627906976744186</v>
      </c>
      <c r="O42" s="39">
        <f t="shared" si="39"/>
        <v>0.17901234567901234</v>
      </c>
      <c r="P42" s="39">
        <f t="shared" si="39"/>
        <v>0.12060301507537688</v>
      </c>
      <c r="Q42" s="49">
        <f t="shared" si="39"/>
        <v>0.15955631399317405</v>
      </c>
      <c r="R42" s="155">
        <v>0.11733878039470562</v>
      </c>
      <c r="S42" s="225" t="s">
        <v>121</v>
      </c>
      <c r="U42" s="36" t="s">
        <v>78</v>
      </c>
      <c r="V42" s="39">
        <f t="shared" si="43"/>
        <v>0.36898395721925131</v>
      </c>
      <c r="W42" s="40">
        <f t="shared" si="44"/>
        <v>0.29411764705882354</v>
      </c>
      <c r="X42" s="39">
        <f t="shared" si="45"/>
        <v>5.3475935828877004E-2</v>
      </c>
      <c r="Y42" s="39">
        <f t="shared" si="46"/>
        <v>0.15508021390374332</v>
      </c>
      <c r="Z42" s="39">
        <f t="shared" si="47"/>
        <v>0.12834224598930483</v>
      </c>
      <c r="AA42" s="49">
        <f t="shared" si="48"/>
        <v>1</v>
      </c>
    </row>
    <row r="43" spans="2:27" x14ac:dyDescent="0.25">
      <c r="C43" s="36" t="s">
        <v>16</v>
      </c>
      <c r="D43" s="37">
        <v>59</v>
      </c>
      <c r="E43" s="37">
        <v>48</v>
      </c>
      <c r="F43" s="37">
        <v>10</v>
      </c>
      <c r="G43" s="37">
        <v>16</v>
      </c>
      <c r="H43" s="37">
        <v>41</v>
      </c>
      <c r="I43" s="53">
        <f t="shared" si="41"/>
        <v>174</v>
      </c>
      <c r="K43" s="36" t="s">
        <v>16</v>
      </c>
      <c r="L43" s="39">
        <f t="shared" si="42"/>
        <v>0.12995594713656389</v>
      </c>
      <c r="M43" s="39">
        <f t="shared" si="39"/>
        <v>0.17712177121771217</v>
      </c>
      <c r="N43" s="39">
        <f t="shared" si="39"/>
        <v>0.11627906976744186</v>
      </c>
      <c r="O43" s="39">
        <f t="shared" si="39"/>
        <v>9.8765432098765427E-2</v>
      </c>
      <c r="P43" s="40">
        <f t="shared" si="39"/>
        <v>0.20603015075376885</v>
      </c>
      <c r="Q43" s="49">
        <f t="shared" si="39"/>
        <v>0.14846416382252559</v>
      </c>
      <c r="R43" s="154">
        <v>0.21695397852124662</v>
      </c>
      <c r="S43" s="169" t="s">
        <v>189</v>
      </c>
      <c r="U43" s="36" t="s">
        <v>16</v>
      </c>
      <c r="V43" s="39">
        <f t="shared" si="43"/>
        <v>0.33908045977011492</v>
      </c>
      <c r="W43" s="40">
        <f t="shared" si="44"/>
        <v>0.27586206896551724</v>
      </c>
      <c r="X43" s="39">
        <f t="shared" si="45"/>
        <v>5.7471264367816091E-2</v>
      </c>
      <c r="Y43" s="39">
        <f t="shared" si="46"/>
        <v>9.1954022988505746E-2</v>
      </c>
      <c r="Z43" s="39">
        <f t="shared" si="47"/>
        <v>0.23563218390804597</v>
      </c>
      <c r="AA43" s="49">
        <f t="shared" si="48"/>
        <v>1</v>
      </c>
    </row>
    <row r="44" spans="2:27" x14ac:dyDescent="0.25">
      <c r="C44" s="52"/>
      <c r="D44" s="53">
        <v>454</v>
      </c>
      <c r="E44" s="53">
        <v>271</v>
      </c>
      <c r="F44" s="53">
        <v>86</v>
      </c>
      <c r="G44" s="53">
        <v>162</v>
      </c>
      <c r="H44" s="53">
        <v>199</v>
      </c>
      <c r="I44" s="53">
        <f t="shared" si="41"/>
        <v>1172</v>
      </c>
      <c r="K44" s="52"/>
      <c r="L44" s="49">
        <f t="shared" si="42"/>
        <v>1</v>
      </c>
      <c r="M44" s="49">
        <f t="shared" si="39"/>
        <v>1</v>
      </c>
      <c r="N44" s="49">
        <f t="shared" si="39"/>
        <v>1</v>
      </c>
      <c r="O44" s="49">
        <f t="shared" si="39"/>
        <v>1</v>
      </c>
      <c r="P44" s="49">
        <f t="shared" si="39"/>
        <v>1</v>
      </c>
      <c r="Q44" s="49">
        <f t="shared" si="39"/>
        <v>1</v>
      </c>
      <c r="R44" s="173">
        <v>1</v>
      </c>
      <c r="S44" s="171" t="s">
        <v>92</v>
      </c>
      <c r="U44" s="48"/>
      <c r="V44" s="49">
        <f t="shared" si="43"/>
        <v>0.38737201365187712</v>
      </c>
      <c r="W44" s="49">
        <f t="shared" si="44"/>
        <v>0.23122866894197952</v>
      </c>
      <c r="X44" s="49">
        <f t="shared" si="45"/>
        <v>7.3378839590443681E-2</v>
      </c>
      <c r="Y44" s="49">
        <f t="shared" si="46"/>
        <v>0.13822525597269625</v>
      </c>
      <c r="Z44" s="49">
        <f t="shared" si="47"/>
        <v>0.16979522184300341</v>
      </c>
      <c r="AA44" s="49">
        <f t="shared" si="48"/>
        <v>1</v>
      </c>
    </row>
    <row r="45" spans="2:27" x14ac:dyDescent="0.25">
      <c r="C45" s="41"/>
      <c r="D45" s="38"/>
      <c r="E45" s="38"/>
      <c r="F45" s="38"/>
      <c r="G45" s="38"/>
      <c r="H45" s="38"/>
      <c r="I45" s="38"/>
      <c r="K45" s="41"/>
      <c r="L45" s="38"/>
      <c r="M45" s="38"/>
      <c r="N45" s="38"/>
      <c r="O45" s="38"/>
      <c r="P45" s="38"/>
      <c r="Q45" s="38"/>
      <c r="R45" s="38"/>
      <c r="S45" s="38"/>
    </row>
    <row r="46" spans="2:27" ht="28.5" customHeight="1" x14ac:dyDescent="0.25">
      <c r="B46" s="34">
        <v>2020</v>
      </c>
      <c r="C46" s="35" t="s">
        <v>66</v>
      </c>
      <c r="D46" s="35">
        <v>44</v>
      </c>
      <c r="E46" s="35">
        <v>49</v>
      </c>
      <c r="F46" s="35">
        <v>53</v>
      </c>
      <c r="G46" s="35">
        <v>72</v>
      </c>
      <c r="H46" s="35">
        <v>85</v>
      </c>
      <c r="I46" s="35" t="s">
        <v>72</v>
      </c>
      <c r="J46" s="34">
        <v>2020</v>
      </c>
      <c r="K46" s="35" t="s">
        <v>66</v>
      </c>
      <c r="L46" s="35" t="s">
        <v>67</v>
      </c>
      <c r="M46" s="35" t="s">
        <v>68</v>
      </c>
      <c r="N46" s="35" t="s">
        <v>69</v>
      </c>
      <c r="O46" s="35" t="s">
        <v>70</v>
      </c>
      <c r="P46" s="35" t="s">
        <v>71</v>
      </c>
      <c r="Q46" s="151" t="s">
        <v>72</v>
      </c>
      <c r="R46" s="148"/>
      <c r="S46" s="148"/>
    </row>
    <row r="47" spans="2:27" x14ac:dyDescent="0.25">
      <c r="C47" s="36" t="s">
        <v>73</v>
      </c>
      <c r="D47" s="37">
        <v>19</v>
      </c>
      <c r="E47" s="37">
        <v>16</v>
      </c>
      <c r="F47" s="37">
        <v>3</v>
      </c>
      <c r="G47" s="37">
        <v>7</v>
      </c>
      <c r="H47" s="37">
        <v>12</v>
      </c>
      <c r="I47" s="44">
        <f>SUM(D47:H47)</f>
        <v>57</v>
      </c>
      <c r="K47" s="36" t="s">
        <v>73</v>
      </c>
      <c r="L47" s="39">
        <f>D47/D$55</f>
        <v>5.1212938005390833E-2</v>
      </c>
      <c r="M47" s="39">
        <f t="shared" ref="M47:Q55" si="49">E47/E$55</f>
        <v>7.8817733990147784E-2</v>
      </c>
      <c r="N47" s="39">
        <f t="shared" si="49"/>
        <v>4.4117647058823532E-2</v>
      </c>
      <c r="O47" s="39">
        <f t="shared" si="49"/>
        <v>5.0724637681159424E-2</v>
      </c>
      <c r="P47" s="39">
        <f t="shared" si="49"/>
        <v>7.4534161490683232E-2</v>
      </c>
      <c r="Q47" s="42">
        <f t="shared" si="49"/>
        <v>6.0573857598299682E-2</v>
      </c>
      <c r="R47" s="146"/>
      <c r="S47" s="146"/>
    </row>
    <row r="48" spans="2:27" x14ac:dyDescent="0.25">
      <c r="C48" s="36" t="s">
        <v>17</v>
      </c>
      <c r="D48" s="37">
        <v>72</v>
      </c>
      <c r="E48" s="37">
        <v>40</v>
      </c>
      <c r="F48" s="37">
        <v>7</v>
      </c>
      <c r="G48" s="37">
        <v>21</v>
      </c>
      <c r="H48" s="37">
        <v>37</v>
      </c>
      <c r="I48" s="44">
        <f t="shared" ref="I48:I54" si="50">SUM(D48:H48)</f>
        <v>177</v>
      </c>
      <c r="K48" s="36" t="s">
        <v>17</v>
      </c>
      <c r="L48" s="39">
        <f t="shared" ref="L48:L55" si="51">D48/D$55</f>
        <v>0.19407008086253369</v>
      </c>
      <c r="M48" s="39">
        <f t="shared" si="49"/>
        <v>0.19704433497536947</v>
      </c>
      <c r="N48" s="39">
        <f t="shared" si="49"/>
        <v>0.10294117647058823</v>
      </c>
      <c r="O48" s="39">
        <f t="shared" si="49"/>
        <v>0.15217391304347827</v>
      </c>
      <c r="P48" s="39">
        <f t="shared" si="49"/>
        <v>0.22981366459627328</v>
      </c>
      <c r="Q48" s="42">
        <f t="shared" si="49"/>
        <v>0.18809776833156217</v>
      </c>
      <c r="R48" s="147"/>
      <c r="S48" s="147"/>
    </row>
    <row r="49" spans="2:19" x14ac:dyDescent="0.25">
      <c r="C49" s="36" t="s">
        <v>74</v>
      </c>
      <c r="D49" s="37">
        <v>25</v>
      </c>
      <c r="E49" s="37">
        <v>14</v>
      </c>
      <c r="F49" s="37">
        <v>6</v>
      </c>
      <c r="G49" s="37">
        <v>27</v>
      </c>
      <c r="H49" s="37">
        <v>13</v>
      </c>
      <c r="I49" s="44">
        <f t="shared" si="50"/>
        <v>85</v>
      </c>
      <c r="K49" s="36" t="s">
        <v>74</v>
      </c>
      <c r="L49" s="39">
        <f t="shared" si="51"/>
        <v>6.7385444743935305E-2</v>
      </c>
      <c r="M49" s="39">
        <f t="shared" si="49"/>
        <v>6.8965517241379309E-2</v>
      </c>
      <c r="N49" s="39">
        <f t="shared" si="49"/>
        <v>8.8235294117647065E-2</v>
      </c>
      <c r="O49" s="39">
        <f t="shared" si="49"/>
        <v>0.19565217391304349</v>
      </c>
      <c r="P49" s="39">
        <f t="shared" si="49"/>
        <v>8.0745341614906832E-2</v>
      </c>
      <c r="Q49" s="42">
        <f t="shared" si="49"/>
        <v>9.0329436769394256E-2</v>
      </c>
      <c r="R49" s="146"/>
      <c r="S49" s="146"/>
    </row>
    <row r="50" spans="2:19" x14ac:dyDescent="0.25">
      <c r="C50" s="36" t="s">
        <v>75</v>
      </c>
      <c r="D50" s="37">
        <v>51</v>
      </c>
      <c r="E50" s="37">
        <v>11</v>
      </c>
      <c r="F50" s="37">
        <v>23</v>
      </c>
      <c r="G50" s="37">
        <v>14</v>
      </c>
      <c r="H50" s="37">
        <v>4</v>
      </c>
      <c r="I50" s="44">
        <f t="shared" si="50"/>
        <v>103</v>
      </c>
      <c r="K50" s="36" t="s">
        <v>75</v>
      </c>
      <c r="L50" s="39">
        <f t="shared" si="51"/>
        <v>0.13746630727762804</v>
      </c>
      <c r="M50" s="39">
        <f t="shared" si="49"/>
        <v>5.4187192118226604E-2</v>
      </c>
      <c r="N50" s="40">
        <f t="shared" si="49"/>
        <v>0.33823529411764708</v>
      </c>
      <c r="O50" s="39">
        <f t="shared" si="49"/>
        <v>0.10144927536231885</v>
      </c>
      <c r="P50" s="39">
        <f t="shared" si="49"/>
        <v>2.4844720496894408E-2</v>
      </c>
      <c r="Q50" s="42">
        <f t="shared" si="49"/>
        <v>0.10945802337938364</v>
      </c>
      <c r="R50" s="146"/>
      <c r="S50" s="146"/>
    </row>
    <row r="51" spans="2:19" x14ac:dyDescent="0.25">
      <c r="C51" s="36" t="s">
        <v>76</v>
      </c>
      <c r="D51" s="37">
        <v>18</v>
      </c>
      <c r="E51" s="37">
        <v>7</v>
      </c>
      <c r="F51" s="37">
        <v>2</v>
      </c>
      <c r="G51" s="37">
        <v>1</v>
      </c>
      <c r="H51" s="37">
        <v>5</v>
      </c>
      <c r="I51" s="44">
        <f t="shared" si="50"/>
        <v>33</v>
      </c>
      <c r="K51" s="36" t="s">
        <v>76</v>
      </c>
      <c r="L51" s="39">
        <f t="shared" si="51"/>
        <v>4.8517520215633422E-2</v>
      </c>
      <c r="M51" s="39">
        <f t="shared" si="49"/>
        <v>3.4482758620689655E-2</v>
      </c>
      <c r="N51" s="39">
        <f t="shared" si="49"/>
        <v>2.9411764705882353E-2</v>
      </c>
      <c r="O51" s="39">
        <f t="shared" si="49"/>
        <v>7.246376811594203E-3</v>
      </c>
      <c r="P51" s="39">
        <f t="shared" si="49"/>
        <v>3.1055900621118012E-2</v>
      </c>
      <c r="Q51" s="326">
        <f t="shared" si="49"/>
        <v>3.5069075451647183E-2</v>
      </c>
      <c r="R51" s="146"/>
      <c r="S51" s="146"/>
    </row>
    <row r="52" spans="2:19" x14ac:dyDescent="0.25">
      <c r="C52" s="36" t="s">
        <v>77</v>
      </c>
      <c r="D52" s="37">
        <v>85</v>
      </c>
      <c r="E52" s="37">
        <v>44</v>
      </c>
      <c r="F52" s="37">
        <v>5</v>
      </c>
      <c r="G52" s="37">
        <v>32</v>
      </c>
      <c r="H52" s="37">
        <v>30</v>
      </c>
      <c r="I52" s="44">
        <f t="shared" si="50"/>
        <v>196</v>
      </c>
      <c r="K52" s="36" t="s">
        <v>77</v>
      </c>
      <c r="L52" s="39">
        <f t="shared" si="51"/>
        <v>0.22911051212938005</v>
      </c>
      <c r="M52" s="39">
        <f t="shared" si="49"/>
        <v>0.21674876847290642</v>
      </c>
      <c r="N52" s="39">
        <f t="shared" si="49"/>
        <v>7.3529411764705885E-2</v>
      </c>
      <c r="O52" s="39">
        <f t="shared" si="49"/>
        <v>0.2318840579710145</v>
      </c>
      <c r="P52" s="39">
        <f t="shared" si="49"/>
        <v>0.18633540372670807</v>
      </c>
      <c r="Q52" s="43">
        <f t="shared" si="49"/>
        <v>0.20828905419766205</v>
      </c>
      <c r="R52" s="147"/>
      <c r="S52" s="147"/>
    </row>
    <row r="53" spans="2:19" x14ac:dyDescent="0.25">
      <c r="C53" s="36" t="s">
        <v>78</v>
      </c>
      <c r="D53" s="37">
        <v>39</v>
      </c>
      <c r="E53" s="37">
        <v>37</v>
      </c>
      <c r="F53" s="37">
        <v>9</v>
      </c>
      <c r="G53" s="37">
        <v>21</v>
      </c>
      <c r="H53" s="37">
        <v>23</v>
      </c>
      <c r="I53" s="44">
        <f t="shared" si="50"/>
        <v>129</v>
      </c>
      <c r="K53" s="36" t="s">
        <v>78</v>
      </c>
      <c r="L53" s="39">
        <f t="shared" si="51"/>
        <v>0.10512129380053908</v>
      </c>
      <c r="M53" s="39">
        <f t="shared" si="49"/>
        <v>0.18226600985221675</v>
      </c>
      <c r="N53" s="39">
        <f t="shared" si="49"/>
        <v>0.13235294117647059</v>
      </c>
      <c r="O53" s="39">
        <f t="shared" si="49"/>
        <v>0.15217391304347827</v>
      </c>
      <c r="P53" s="39">
        <f t="shared" si="49"/>
        <v>0.14285714285714285</v>
      </c>
      <c r="Q53" s="42">
        <f t="shared" si="49"/>
        <v>0.13708820403825717</v>
      </c>
      <c r="R53" s="146"/>
      <c r="S53" s="146"/>
    </row>
    <row r="54" spans="2:19" x14ac:dyDescent="0.25">
      <c r="C54" s="36" t="s">
        <v>16</v>
      </c>
      <c r="D54" s="37">
        <v>62</v>
      </c>
      <c r="E54" s="37">
        <v>34</v>
      </c>
      <c r="F54" s="37">
        <v>13</v>
      </c>
      <c r="G54" s="37">
        <v>15</v>
      </c>
      <c r="H54" s="37">
        <v>37</v>
      </c>
      <c r="I54" s="44">
        <f t="shared" si="50"/>
        <v>161</v>
      </c>
      <c r="K54" s="36" t="s">
        <v>16</v>
      </c>
      <c r="L54" s="39">
        <f t="shared" si="51"/>
        <v>0.16711590296495957</v>
      </c>
      <c r="M54" s="39">
        <f t="shared" si="49"/>
        <v>0.16748768472906403</v>
      </c>
      <c r="N54" s="39">
        <f t="shared" si="49"/>
        <v>0.19117647058823528</v>
      </c>
      <c r="O54" s="39">
        <f t="shared" si="49"/>
        <v>0.10869565217391304</v>
      </c>
      <c r="P54" s="39">
        <f t="shared" si="49"/>
        <v>0.22981366459627328</v>
      </c>
      <c r="Q54" s="42">
        <f t="shared" si="49"/>
        <v>0.17109458023379384</v>
      </c>
      <c r="R54" s="146"/>
      <c r="S54" s="146"/>
    </row>
    <row r="55" spans="2:19" x14ac:dyDescent="0.25">
      <c r="D55" s="45">
        <f>SUM(D47:D54)</f>
        <v>371</v>
      </c>
      <c r="E55" s="45">
        <f t="shared" ref="E55:H55" si="52">SUM(E47:E54)</f>
        <v>203</v>
      </c>
      <c r="F55" s="45">
        <f t="shared" si="52"/>
        <v>68</v>
      </c>
      <c r="G55" s="45">
        <f t="shared" si="52"/>
        <v>138</v>
      </c>
      <c r="H55" s="45">
        <f t="shared" si="52"/>
        <v>161</v>
      </c>
      <c r="I55" s="44">
        <f>SUM(D55:H55)</f>
        <v>941</v>
      </c>
      <c r="L55" s="42">
        <f t="shared" si="51"/>
        <v>1</v>
      </c>
      <c r="M55" s="42">
        <f t="shared" si="49"/>
        <v>1</v>
      </c>
      <c r="N55" s="42">
        <f t="shared" si="49"/>
        <v>1</v>
      </c>
      <c r="O55" s="42">
        <f t="shared" si="49"/>
        <v>1</v>
      </c>
      <c r="P55" s="42">
        <f t="shared" si="49"/>
        <v>1</v>
      </c>
      <c r="Q55" s="42">
        <f t="shared" si="49"/>
        <v>1</v>
      </c>
      <c r="R55" s="146"/>
      <c r="S55" s="146"/>
    </row>
    <row r="56" spans="2:19" x14ac:dyDescent="0.25">
      <c r="I56" s="38"/>
      <c r="R56" s="149"/>
      <c r="S56" s="149"/>
    </row>
    <row r="57" spans="2:19" ht="28.5" customHeight="1" x14ac:dyDescent="0.25">
      <c r="B57" s="34">
        <v>2019</v>
      </c>
      <c r="C57" s="327" t="s">
        <v>211</v>
      </c>
      <c r="D57" s="327" t="s">
        <v>67</v>
      </c>
      <c r="E57" s="327" t="s">
        <v>68</v>
      </c>
      <c r="F57" s="327" t="s">
        <v>69</v>
      </c>
      <c r="G57" s="327" t="s">
        <v>70</v>
      </c>
      <c r="H57" s="327" t="s">
        <v>71</v>
      </c>
      <c r="I57" s="35" t="s">
        <v>72</v>
      </c>
      <c r="J57" s="34">
        <v>2019</v>
      </c>
      <c r="K57" s="35" t="s">
        <v>66</v>
      </c>
      <c r="L57" s="35" t="s">
        <v>67</v>
      </c>
      <c r="M57" s="35" t="s">
        <v>68</v>
      </c>
      <c r="N57" s="35" t="s">
        <v>69</v>
      </c>
      <c r="O57" s="35" t="s">
        <v>70</v>
      </c>
      <c r="P57" s="35" t="s">
        <v>71</v>
      </c>
      <c r="Q57" s="151" t="s">
        <v>72</v>
      </c>
      <c r="R57" s="148"/>
      <c r="S57" s="148"/>
    </row>
    <row r="58" spans="2:19" x14ac:dyDescent="0.25">
      <c r="C58" s="328" t="s">
        <v>73</v>
      </c>
      <c r="D58" s="329">
        <v>34</v>
      </c>
      <c r="E58" s="329">
        <v>12</v>
      </c>
      <c r="F58" s="329">
        <v>9</v>
      </c>
      <c r="G58" s="329">
        <v>6</v>
      </c>
      <c r="H58" s="329">
        <v>8</v>
      </c>
      <c r="I58" s="44">
        <f>SUM(D58:H58)</f>
        <v>69</v>
      </c>
      <c r="K58" s="36" t="s">
        <v>73</v>
      </c>
      <c r="L58" s="39">
        <f>D58/D$66</f>
        <v>7.5723830734966593E-2</v>
      </c>
      <c r="M58" s="39">
        <f t="shared" ref="M58:Q66" si="53">E58/E$66</f>
        <v>4.49438202247191E-2</v>
      </c>
      <c r="N58" s="39">
        <f t="shared" si="53"/>
        <v>0.10112359550561797</v>
      </c>
      <c r="O58" s="39">
        <f t="shared" si="53"/>
        <v>3.9215686274509803E-2</v>
      </c>
      <c r="P58" s="39">
        <f t="shared" si="53"/>
        <v>4.1884816753926704E-2</v>
      </c>
      <c r="Q58" s="42">
        <f t="shared" si="53"/>
        <v>6.0052219321148827E-2</v>
      </c>
      <c r="R58" s="146"/>
      <c r="S58" s="146"/>
    </row>
    <row r="59" spans="2:19" x14ac:dyDescent="0.25">
      <c r="C59" s="328" t="s">
        <v>17</v>
      </c>
      <c r="D59" s="329">
        <v>101</v>
      </c>
      <c r="E59" s="329">
        <v>53</v>
      </c>
      <c r="F59" s="329">
        <v>12</v>
      </c>
      <c r="G59" s="329">
        <v>24</v>
      </c>
      <c r="H59" s="329">
        <v>23</v>
      </c>
      <c r="I59" s="44">
        <f t="shared" ref="I59:I65" si="54">SUM(D59:H59)</f>
        <v>213</v>
      </c>
      <c r="K59" s="36" t="s">
        <v>17</v>
      </c>
      <c r="L59" s="39">
        <f t="shared" ref="L59:L66" si="55">D59/D$66</f>
        <v>0.22494432071269488</v>
      </c>
      <c r="M59" s="39">
        <f t="shared" si="53"/>
        <v>0.19850187265917604</v>
      </c>
      <c r="N59" s="39">
        <f t="shared" si="53"/>
        <v>0.1348314606741573</v>
      </c>
      <c r="O59" s="39">
        <f t="shared" si="53"/>
        <v>0.15686274509803921</v>
      </c>
      <c r="P59" s="39">
        <f t="shared" si="53"/>
        <v>0.12041884816753927</v>
      </c>
      <c r="Q59" s="42">
        <f t="shared" si="53"/>
        <v>0.18537859007832899</v>
      </c>
      <c r="R59" s="147"/>
      <c r="S59" s="147"/>
    </row>
    <row r="60" spans="2:19" x14ac:dyDescent="0.25">
      <c r="C60" s="328" t="s">
        <v>74</v>
      </c>
      <c r="D60" s="329">
        <v>36</v>
      </c>
      <c r="E60" s="329">
        <v>21</v>
      </c>
      <c r="F60" s="329">
        <v>7</v>
      </c>
      <c r="G60" s="329">
        <v>18</v>
      </c>
      <c r="H60" s="329">
        <v>28</v>
      </c>
      <c r="I60" s="44">
        <f t="shared" si="54"/>
        <v>110</v>
      </c>
      <c r="K60" s="36" t="s">
        <v>74</v>
      </c>
      <c r="L60" s="39">
        <f t="shared" si="55"/>
        <v>8.0178173719376397E-2</v>
      </c>
      <c r="M60" s="39">
        <f t="shared" si="53"/>
        <v>7.8651685393258425E-2</v>
      </c>
      <c r="N60" s="39">
        <f t="shared" si="53"/>
        <v>7.8651685393258425E-2</v>
      </c>
      <c r="O60" s="39">
        <f t="shared" si="53"/>
        <v>0.11764705882352941</v>
      </c>
      <c r="P60" s="39">
        <f t="shared" si="53"/>
        <v>0.14659685863874344</v>
      </c>
      <c r="Q60" s="42">
        <f t="shared" si="53"/>
        <v>9.5735422106179288E-2</v>
      </c>
      <c r="R60" s="146"/>
      <c r="S60" s="146"/>
    </row>
    <row r="61" spans="2:19" x14ac:dyDescent="0.25">
      <c r="C61" s="328" t="s">
        <v>75</v>
      </c>
      <c r="D61" s="329">
        <v>29</v>
      </c>
      <c r="E61" s="329">
        <v>17</v>
      </c>
      <c r="F61" s="329">
        <v>16</v>
      </c>
      <c r="G61" s="329">
        <v>4</v>
      </c>
      <c r="H61" s="329">
        <v>7</v>
      </c>
      <c r="I61" s="44">
        <f t="shared" si="54"/>
        <v>73</v>
      </c>
      <c r="K61" s="36" t="s">
        <v>75</v>
      </c>
      <c r="L61" s="39">
        <f t="shared" si="55"/>
        <v>6.4587973273942098E-2</v>
      </c>
      <c r="M61" s="39">
        <f t="shared" si="53"/>
        <v>6.3670411985018729E-2</v>
      </c>
      <c r="N61" s="39">
        <f t="shared" si="53"/>
        <v>0.1797752808988764</v>
      </c>
      <c r="O61" s="39">
        <f t="shared" si="53"/>
        <v>2.6143790849673203E-2</v>
      </c>
      <c r="P61" s="39">
        <f t="shared" si="53"/>
        <v>3.6649214659685861E-2</v>
      </c>
      <c r="Q61" s="42">
        <f t="shared" si="53"/>
        <v>6.3533507397737166E-2</v>
      </c>
      <c r="R61" s="146"/>
      <c r="S61" s="146"/>
    </row>
    <row r="62" spans="2:19" x14ac:dyDescent="0.25">
      <c r="C62" s="328" t="s">
        <v>76</v>
      </c>
      <c r="D62" s="329">
        <v>14</v>
      </c>
      <c r="E62" s="329">
        <v>13</v>
      </c>
      <c r="F62" s="329">
        <v>7</v>
      </c>
      <c r="G62" s="329">
        <v>7</v>
      </c>
      <c r="H62" s="329">
        <v>13</v>
      </c>
      <c r="I62" s="44">
        <f t="shared" si="54"/>
        <v>54</v>
      </c>
      <c r="K62" s="36" t="s">
        <v>76</v>
      </c>
      <c r="L62" s="39">
        <f t="shared" si="55"/>
        <v>3.1180400890868598E-2</v>
      </c>
      <c r="M62" s="39">
        <f t="shared" si="53"/>
        <v>4.8689138576779027E-2</v>
      </c>
      <c r="N62" s="39">
        <f t="shared" si="53"/>
        <v>7.8651685393258425E-2</v>
      </c>
      <c r="O62" s="39">
        <f t="shared" si="53"/>
        <v>4.5751633986928102E-2</v>
      </c>
      <c r="P62" s="39">
        <f t="shared" si="53"/>
        <v>6.8062827225130892E-2</v>
      </c>
      <c r="Q62" s="326">
        <f t="shared" si="53"/>
        <v>4.6997389033942558E-2</v>
      </c>
      <c r="R62" s="146"/>
      <c r="S62" s="146"/>
    </row>
    <row r="63" spans="2:19" x14ac:dyDescent="0.25">
      <c r="C63" s="328" t="s">
        <v>77</v>
      </c>
      <c r="D63" s="329">
        <v>121</v>
      </c>
      <c r="E63" s="329">
        <v>68</v>
      </c>
      <c r="F63" s="329">
        <v>13</v>
      </c>
      <c r="G63" s="329">
        <v>38</v>
      </c>
      <c r="H63" s="329">
        <v>45</v>
      </c>
      <c r="I63" s="44">
        <f t="shared" si="54"/>
        <v>285</v>
      </c>
      <c r="K63" s="36" t="s">
        <v>77</v>
      </c>
      <c r="L63" s="40">
        <f t="shared" si="55"/>
        <v>0.26948775055679286</v>
      </c>
      <c r="M63" s="39">
        <f t="shared" si="53"/>
        <v>0.25468164794007492</v>
      </c>
      <c r="N63" s="39">
        <f t="shared" si="53"/>
        <v>0.14606741573033707</v>
      </c>
      <c r="O63" s="39">
        <f t="shared" si="53"/>
        <v>0.24836601307189543</v>
      </c>
      <c r="P63" s="39">
        <f t="shared" si="53"/>
        <v>0.2356020942408377</v>
      </c>
      <c r="Q63" s="43">
        <f t="shared" si="53"/>
        <v>0.24804177545691905</v>
      </c>
      <c r="R63" s="147"/>
      <c r="S63" s="147"/>
    </row>
    <row r="64" spans="2:19" x14ac:dyDescent="0.25">
      <c r="C64" s="328" t="s">
        <v>78</v>
      </c>
      <c r="D64" s="329">
        <v>53</v>
      </c>
      <c r="E64" s="329">
        <v>56</v>
      </c>
      <c r="F64" s="329">
        <v>13</v>
      </c>
      <c r="G64" s="329">
        <v>24</v>
      </c>
      <c r="H64" s="329">
        <v>37</v>
      </c>
      <c r="I64" s="44">
        <f t="shared" si="54"/>
        <v>183</v>
      </c>
      <c r="K64" s="36" t="s">
        <v>78</v>
      </c>
      <c r="L64" s="39">
        <f t="shared" si="55"/>
        <v>0.11804008908685969</v>
      </c>
      <c r="M64" s="39">
        <f t="shared" si="53"/>
        <v>0.20973782771535582</v>
      </c>
      <c r="N64" s="39">
        <f t="shared" si="53"/>
        <v>0.14606741573033707</v>
      </c>
      <c r="O64" s="39">
        <f t="shared" si="53"/>
        <v>0.15686274509803921</v>
      </c>
      <c r="P64" s="39">
        <f t="shared" si="53"/>
        <v>0.193717277486911</v>
      </c>
      <c r="Q64" s="42">
        <f t="shared" si="53"/>
        <v>0.15926892950391644</v>
      </c>
      <c r="R64" s="146"/>
      <c r="S64" s="146"/>
    </row>
    <row r="65" spans="3:19" x14ac:dyDescent="0.25">
      <c r="C65" s="328" t="s">
        <v>16</v>
      </c>
      <c r="D65" s="329">
        <v>61</v>
      </c>
      <c r="E65" s="329">
        <v>27</v>
      </c>
      <c r="F65" s="329">
        <v>12</v>
      </c>
      <c r="G65" s="329">
        <v>32</v>
      </c>
      <c r="H65" s="329">
        <v>30</v>
      </c>
      <c r="I65" s="44">
        <f t="shared" si="54"/>
        <v>162</v>
      </c>
      <c r="K65" s="36" t="s">
        <v>16</v>
      </c>
      <c r="L65" s="39">
        <f t="shared" si="55"/>
        <v>0.13585746102449889</v>
      </c>
      <c r="M65" s="39">
        <f t="shared" si="53"/>
        <v>0.10112359550561797</v>
      </c>
      <c r="N65" s="39">
        <f t="shared" si="53"/>
        <v>0.1348314606741573</v>
      </c>
      <c r="O65" s="39">
        <f t="shared" si="53"/>
        <v>0.20915032679738563</v>
      </c>
      <c r="P65" s="39">
        <f t="shared" si="53"/>
        <v>0.15706806282722513</v>
      </c>
      <c r="Q65" s="42">
        <f t="shared" si="53"/>
        <v>0.14099216710182769</v>
      </c>
      <c r="R65" s="146"/>
      <c r="S65" s="146"/>
    </row>
    <row r="66" spans="3:19" x14ac:dyDescent="0.25">
      <c r="D66" s="45">
        <f>SUM(D58:D65)</f>
        <v>449</v>
      </c>
      <c r="E66" s="45">
        <f t="shared" ref="E66:H66" si="56">SUM(E58:E65)</f>
        <v>267</v>
      </c>
      <c r="F66" s="45">
        <f t="shared" si="56"/>
        <v>89</v>
      </c>
      <c r="G66" s="45">
        <f t="shared" si="56"/>
        <v>153</v>
      </c>
      <c r="H66" s="45">
        <f t="shared" si="56"/>
        <v>191</v>
      </c>
      <c r="I66" s="45">
        <f>SUM(I58:I65)</f>
        <v>1149</v>
      </c>
      <c r="L66" s="42">
        <f t="shared" si="55"/>
        <v>1</v>
      </c>
      <c r="M66" s="42">
        <f t="shared" si="53"/>
        <v>1</v>
      </c>
      <c r="N66" s="42">
        <f t="shared" si="53"/>
        <v>1</v>
      </c>
      <c r="O66" s="42">
        <f t="shared" si="53"/>
        <v>1</v>
      </c>
      <c r="P66" s="42">
        <f t="shared" si="53"/>
        <v>1</v>
      </c>
      <c r="Q66" s="42">
        <f t="shared" si="53"/>
        <v>1</v>
      </c>
      <c r="R66" s="146"/>
      <c r="S66" s="146"/>
    </row>
    <row r="67" spans="3:19" x14ac:dyDescent="0.25">
      <c r="I67" s="38"/>
      <c r="R67" s="149"/>
      <c r="S67" s="149"/>
    </row>
    <row r="68" spans="3:19" x14ac:dyDescent="0.25">
      <c r="I68" s="38"/>
      <c r="R68" s="149"/>
      <c r="S68" s="149"/>
    </row>
  </sheetData>
  <pageMargins left="0.7" right="0.7" top="0.75" bottom="0.75" header="0.3" footer="0.3"/>
  <pageSetup paperSize="9"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M30"/>
  <sheetViews>
    <sheetView zoomScale="85" zoomScaleNormal="85" workbookViewId="0">
      <selection activeCell="P26" sqref="P26"/>
    </sheetView>
  </sheetViews>
  <sheetFormatPr baseColWidth="10" defaultColWidth="30.140625" defaultRowHeight="15" x14ac:dyDescent="0.25"/>
  <cols>
    <col min="1" max="1" width="5.42578125" customWidth="1"/>
    <col min="2" max="2" width="8.7109375" customWidth="1"/>
    <col min="3" max="3" width="25.42578125" customWidth="1"/>
    <col min="4" max="13" width="15.7109375" customWidth="1"/>
  </cols>
  <sheetData>
    <row r="2" spans="2:13" ht="42.75" customHeight="1" x14ac:dyDescent="0.25">
      <c r="B2" s="337" t="s">
        <v>96</v>
      </c>
      <c r="C2" s="337" t="s">
        <v>97</v>
      </c>
      <c r="D2" s="339" t="s">
        <v>122</v>
      </c>
      <c r="E2" s="341"/>
      <c r="F2" s="342"/>
      <c r="G2" s="342"/>
      <c r="H2" s="342"/>
      <c r="I2" s="340"/>
      <c r="J2" s="337" t="s">
        <v>213</v>
      </c>
      <c r="K2" s="339" t="s">
        <v>214</v>
      </c>
      <c r="L2" s="340"/>
      <c r="M2" s="337" t="s">
        <v>119</v>
      </c>
    </row>
    <row r="3" spans="2:13" ht="25.5" customHeight="1" x14ac:dyDescent="0.25">
      <c r="B3" s="338"/>
      <c r="C3" s="338"/>
      <c r="D3" s="200">
        <v>43497</v>
      </c>
      <c r="E3" s="200">
        <v>44105</v>
      </c>
      <c r="F3" s="200">
        <v>44228</v>
      </c>
      <c r="G3" s="200">
        <v>44593</v>
      </c>
      <c r="H3" s="200">
        <v>44958</v>
      </c>
      <c r="I3" s="200">
        <v>45689</v>
      </c>
      <c r="J3" s="338"/>
      <c r="K3" s="174" t="s">
        <v>123</v>
      </c>
      <c r="L3" s="174" t="s">
        <v>98</v>
      </c>
      <c r="M3" s="338"/>
    </row>
    <row r="4" spans="2:13" x14ac:dyDescent="0.25">
      <c r="B4" s="175" t="s">
        <v>67</v>
      </c>
      <c r="C4" s="176" t="s">
        <v>99</v>
      </c>
      <c r="D4" s="177">
        <v>4175</v>
      </c>
      <c r="E4" s="177">
        <v>4452</v>
      </c>
      <c r="F4" s="177">
        <v>4516</v>
      </c>
      <c r="G4" s="177">
        <v>4718</v>
      </c>
      <c r="H4" s="177">
        <v>4975</v>
      </c>
      <c r="I4" s="177">
        <v>5345</v>
      </c>
      <c r="J4" s="178">
        <f>H4/$H$7</f>
        <v>0.15332696397201589</v>
      </c>
      <c r="K4" s="196">
        <f>I4-D4</f>
        <v>1170</v>
      </c>
      <c r="L4" s="201">
        <f>K4/D4</f>
        <v>0.28023952095808385</v>
      </c>
      <c r="M4" s="179">
        <v>22.847543408195193</v>
      </c>
    </row>
    <row r="5" spans="2:13" x14ac:dyDescent="0.25">
      <c r="B5" s="175" t="s">
        <v>67</v>
      </c>
      <c r="C5" s="176" t="s">
        <v>100</v>
      </c>
      <c r="D5" s="177">
        <v>17598</v>
      </c>
      <c r="E5" s="177">
        <v>18563</v>
      </c>
      <c r="F5" s="177">
        <v>18835</v>
      </c>
      <c r="G5" s="177">
        <v>19898</v>
      </c>
      <c r="H5" s="177">
        <v>20842</v>
      </c>
      <c r="I5" s="177">
        <v>22158</v>
      </c>
      <c r="J5" s="213">
        <f>H5/$H$7</f>
        <v>0.64233981569944831</v>
      </c>
      <c r="K5" s="196">
        <f t="shared" ref="K5:K22" si="0">I5-D5</f>
        <v>4560</v>
      </c>
      <c r="L5" s="201">
        <f t="shared" ref="L5:L24" si="1">K5/D5</f>
        <v>0.25912035458574839</v>
      </c>
      <c r="M5" s="179">
        <v>24.928980868430379</v>
      </c>
    </row>
    <row r="6" spans="2:13" x14ac:dyDescent="0.25">
      <c r="B6" s="175" t="s">
        <v>67</v>
      </c>
      <c r="C6" s="176" t="s">
        <v>101</v>
      </c>
      <c r="D6" s="177">
        <v>5418</v>
      </c>
      <c r="E6" s="177">
        <v>5832</v>
      </c>
      <c r="F6" s="177">
        <v>5903</v>
      </c>
      <c r="G6" s="177">
        <v>6287</v>
      </c>
      <c r="H6" s="177">
        <v>6630</v>
      </c>
      <c r="I6" s="177">
        <v>7055</v>
      </c>
      <c r="J6" s="178">
        <f>H6/$H$7</f>
        <v>0.20433322032853576</v>
      </c>
      <c r="K6" s="196">
        <f t="shared" si="0"/>
        <v>1637</v>
      </c>
      <c r="L6" s="201">
        <f t="shared" si="1"/>
        <v>0.30214101144333705</v>
      </c>
      <c r="M6" s="179">
        <v>20.13591385082584</v>
      </c>
    </row>
    <row r="7" spans="2:13" s="45" customFormat="1" ht="14.25" customHeight="1" x14ac:dyDescent="0.25">
      <c r="B7" s="345" t="s">
        <v>102</v>
      </c>
      <c r="C7" s="346"/>
      <c r="D7" s="180">
        <v>27191</v>
      </c>
      <c r="E7" s="180">
        <v>28847</v>
      </c>
      <c r="F7" s="180">
        <v>29254</v>
      </c>
      <c r="G7" s="180">
        <v>30903</v>
      </c>
      <c r="H7" s="180">
        <f>SUM(H4:H6)</f>
        <v>32447</v>
      </c>
      <c r="I7" s="180">
        <f>SUM(I4:I6)</f>
        <v>34558</v>
      </c>
      <c r="J7" s="181">
        <f>H7/$H$7</f>
        <v>1</v>
      </c>
      <c r="K7" s="197">
        <f t="shared" si="0"/>
        <v>7367</v>
      </c>
      <c r="L7" s="202">
        <f t="shared" si="1"/>
        <v>0.27093523592365121</v>
      </c>
      <c r="M7" s="182">
        <f>'Démographie des asso'!C6</f>
        <v>23.448297396881255</v>
      </c>
    </row>
    <row r="8" spans="2:13" ht="15" customHeight="1" x14ac:dyDescent="0.25">
      <c r="B8" s="175" t="s">
        <v>68</v>
      </c>
      <c r="C8" s="176" t="s">
        <v>103</v>
      </c>
      <c r="D8" s="177">
        <v>14092</v>
      </c>
      <c r="E8" s="177">
        <v>14425</v>
      </c>
      <c r="F8" s="177">
        <v>14504</v>
      </c>
      <c r="G8" s="177">
        <v>14833</v>
      </c>
      <c r="H8" s="177">
        <v>15130</v>
      </c>
      <c r="I8" s="177">
        <v>15537</v>
      </c>
      <c r="J8" s="213">
        <f>H8/$H$12</f>
        <v>0.53694371495492943</v>
      </c>
      <c r="K8" s="196">
        <f t="shared" si="0"/>
        <v>1445</v>
      </c>
      <c r="L8" s="201">
        <f t="shared" si="1"/>
        <v>0.10254044848140789</v>
      </c>
      <c r="M8" s="179">
        <v>39.10538595709658</v>
      </c>
    </row>
    <row r="9" spans="2:13" x14ac:dyDescent="0.25">
      <c r="B9" s="175" t="s">
        <v>68</v>
      </c>
      <c r="C9" s="176" t="s">
        <v>104</v>
      </c>
      <c r="D9" s="177">
        <v>4212</v>
      </c>
      <c r="E9" s="177">
        <v>5704</v>
      </c>
      <c r="F9" s="177">
        <v>5904</v>
      </c>
      <c r="G9" s="177">
        <v>5962</v>
      </c>
      <c r="H9" s="177">
        <v>6143</v>
      </c>
      <c r="I9" s="177">
        <v>6402</v>
      </c>
      <c r="J9" s="178">
        <f t="shared" ref="J9:J12" si="2">H9/$H$12</f>
        <v>0.21800695578110582</v>
      </c>
      <c r="K9" s="196">
        <f t="shared" si="0"/>
        <v>2190</v>
      </c>
      <c r="L9" s="201">
        <f t="shared" si="1"/>
        <v>0.51994301994301995</v>
      </c>
      <c r="M9" s="179">
        <v>28.192086663584121</v>
      </c>
    </row>
    <row r="10" spans="2:13" x14ac:dyDescent="0.25">
      <c r="B10" s="175" t="s">
        <v>68</v>
      </c>
      <c r="C10" s="176" t="s">
        <v>105</v>
      </c>
      <c r="D10" s="177">
        <v>2939</v>
      </c>
      <c r="E10" s="177">
        <v>4874</v>
      </c>
      <c r="F10" s="177">
        <v>4892</v>
      </c>
      <c r="G10" s="177">
        <v>4960</v>
      </c>
      <c r="H10" s="177">
        <v>5028</v>
      </c>
      <c r="I10" s="177">
        <v>5180</v>
      </c>
      <c r="J10" s="178">
        <f t="shared" si="2"/>
        <v>0.17843707857193555</v>
      </c>
      <c r="K10" s="196">
        <f t="shared" si="0"/>
        <v>2241</v>
      </c>
      <c r="L10" s="201">
        <f t="shared" si="1"/>
        <v>0.76250425314732906</v>
      </c>
      <c r="M10" s="179">
        <v>39.017776438686347</v>
      </c>
    </row>
    <row r="11" spans="2:13" x14ac:dyDescent="0.25">
      <c r="B11" s="175" t="s">
        <v>68</v>
      </c>
      <c r="C11" s="176" t="s">
        <v>106</v>
      </c>
      <c r="D11" s="177">
        <v>1688</v>
      </c>
      <c r="E11" s="177">
        <v>1747</v>
      </c>
      <c r="F11" s="177">
        <v>1757</v>
      </c>
      <c r="G11" s="177">
        <v>1810</v>
      </c>
      <c r="H11" s="177">
        <v>1877</v>
      </c>
      <c r="I11" s="177">
        <v>1932</v>
      </c>
      <c r="J11" s="178">
        <f t="shared" si="2"/>
        <v>6.6612250692029237E-2</v>
      </c>
      <c r="K11" s="196">
        <f t="shared" si="0"/>
        <v>244</v>
      </c>
      <c r="L11" s="201">
        <f t="shared" si="1"/>
        <v>0.14454976303317535</v>
      </c>
      <c r="M11" s="179">
        <v>27.213184027044157</v>
      </c>
    </row>
    <row r="12" spans="2:13" ht="14.25" customHeight="1" x14ac:dyDescent="0.25">
      <c r="B12" s="345" t="s">
        <v>107</v>
      </c>
      <c r="C12" s="346"/>
      <c r="D12" s="180">
        <v>22931</v>
      </c>
      <c r="E12" s="180">
        <v>26750</v>
      </c>
      <c r="F12" s="180">
        <v>27057</v>
      </c>
      <c r="G12" s="180">
        <v>27565</v>
      </c>
      <c r="H12" s="180">
        <f>SUM(H8:H11)</f>
        <v>28178</v>
      </c>
      <c r="I12" s="180">
        <f>SUM(I8:I11)</f>
        <v>29051</v>
      </c>
      <c r="J12" s="181">
        <f t="shared" si="2"/>
        <v>1</v>
      </c>
      <c r="K12" s="197">
        <f t="shared" si="0"/>
        <v>6120</v>
      </c>
      <c r="L12" s="202">
        <f>K12/D12</f>
        <v>0.26688761937987876</v>
      </c>
      <c r="M12" s="182">
        <f>'Démographie des asso'!D6</f>
        <v>35.097464109806062</v>
      </c>
    </row>
    <row r="13" spans="2:13" ht="15" customHeight="1" x14ac:dyDescent="0.25">
      <c r="B13" s="175" t="s">
        <v>69</v>
      </c>
      <c r="C13" s="176" t="s">
        <v>108</v>
      </c>
      <c r="D13" s="177">
        <v>2157</v>
      </c>
      <c r="E13" s="177">
        <v>2198</v>
      </c>
      <c r="F13" s="177">
        <v>2213</v>
      </c>
      <c r="G13" s="177">
        <v>2262</v>
      </c>
      <c r="H13" s="177">
        <v>2320</v>
      </c>
      <c r="I13" s="177">
        <v>2366</v>
      </c>
      <c r="J13" s="178">
        <f>H13/$H$16</f>
        <v>0.28906055320209317</v>
      </c>
      <c r="K13" s="196">
        <f t="shared" si="0"/>
        <v>209</v>
      </c>
      <c r="L13" s="201">
        <f t="shared" si="1"/>
        <v>9.6893834028743631E-2</v>
      </c>
      <c r="M13" s="179">
        <v>32.376364979884507</v>
      </c>
    </row>
    <row r="14" spans="2:13" x14ac:dyDescent="0.25">
      <c r="B14" s="175" t="s">
        <v>69</v>
      </c>
      <c r="C14" s="176" t="s">
        <v>109</v>
      </c>
      <c r="D14" s="177">
        <v>2350</v>
      </c>
      <c r="E14" s="177">
        <v>2474</v>
      </c>
      <c r="F14" s="177">
        <v>2493</v>
      </c>
      <c r="G14" s="177">
        <v>2577</v>
      </c>
      <c r="H14" s="177">
        <v>2691</v>
      </c>
      <c r="I14" s="177">
        <v>2843</v>
      </c>
      <c r="J14" s="178">
        <f t="shared" ref="J14:J16" si="3">H14/$H$16</f>
        <v>0.33528532270122102</v>
      </c>
      <c r="K14" s="196">
        <f t="shared" si="0"/>
        <v>493</v>
      </c>
      <c r="L14" s="201">
        <f t="shared" si="1"/>
        <v>0.2097872340425532</v>
      </c>
      <c r="M14" s="179">
        <v>24.749286161988998</v>
      </c>
    </row>
    <row r="15" spans="2:13" x14ac:dyDescent="0.25">
      <c r="B15" s="175" t="s">
        <v>69</v>
      </c>
      <c r="C15" s="176" t="s">
        <v>110</v>
      </c>
      <c r="D15" s="177">
        <v>2697</v>
      </c>
      <c r="E15" s="177">
        <v>2777</v>
      </c>
      <c r="F15" s="177">
        <v>2799</v>
      </c>
      <c r="G15" s="177">
        <v>2916</v>
      </c>
      <c r="H15" s="177">
        <v>3015</v>
      </c>
      <c r="I15" s="177">
        <v>3119</v>
      </c>
      <c r="J15" s="213">
        <f t="shared" si="3"/>
        <v>0.37565412409668575</v>
      </c>
      <c r="K15" s="196">
        <f t="shared" si="0"/>
        <v>422</v>
      </c>
      <c r="L15" s="201">
        <f t="shared" si="1"/>
        <v>0.15647015202076381</v>
      </c>
      <c r="M15" s="179">
        <v>26.572723555070883</v>
      </c>
    </row>
    <row r="16" spans="2:13" ht="14.25" customHeight="1" x14ac:dyDescent="0.25">
      <c r="B16" s="345" t="s">
        <v>110</v>
      </c>
      <c r="C16" s="346"/>
      <c r="D16" s="180">
        <v>7204</v>
      </c>
      <c r="E16" s="180">
        <v>7449</v>
      </c>
      <c r="F16" s="180">
        <v>7505</v>
      </c>
      <c r="G16" s="180">
        <v>7755</v>
      </c>
      <c r="H16" s="180">
        <f>SUM(H13:H15)</f>
        <v>8026</v>
      </c>
      <c r="I16" s="180">
        <f>SUM(I13:I15)</f>
        <v>8328</v>
      </c>
      <c r="J16" s="181">
        <f t="shared" si="3"/>
        <v>1</v>
      </c>
      <c r="K16" s="197">
        <f t="shared" si="0"/>
        <v>1124</v>
      </c>
      <c r="L16" s="202">
        <f t="shared" si="1"/>
        <v>0.15602443087173792</v>
      </c>
      <c r="M16" s="182">
        <f>'Démographie des asso'!E6</f>
        <v>27.265851877801314</v>
      </c>
    </row>
    <row r="17" spans="2:13" x14ac:dyDescent="0.25">
      <c r="B17" s="175" t="s">
        <v>70</v>
      </c>
      <c r="C17" s="176" t="s">
        <v>111</v>
      </c>
      <c r="D17" s="177">
        <v>4420</v>
      </c>
      <c r="E17" s="177">
        <v>4520</v>
      </c>
      <c r="F17" s="177">
        <v>4533</v>
      </c>
      <c r="G17" s="177">
        <v>4655</v>
      </c>
      <c r="H17" s="177">
        <v>4782</v>
      </c>
      <c r="I17" s="177">
        <v>4934</v>
      </c>
      <c r="J17" s="178">
        <f>H17/$H$20</f>
        <v>0.26668897440187384</v>
      </c>
      <c r="K17" s="196">
        <f t="shared" si="0"/>
        <v>514</v>
      </c>
      <c r="L17" s="201">
        <f t="shared" si="1"/>
        <v>0.116289592760181</v>
      </c>
      <c r="M17" s="179">
        <v>33.200102278385614</v>
      </c>
    </row>
    <row r="18" spans="2:13" x14ac:dyDescent="0.25">
      <c r="B18" s="175" t="s">
        <v>70</v>
      </c>
      <c r="C18" s="176" t="s">
        <v>112</v>
      </c>
      <c r="D18" s="177">
        <v>8270</v>
      </c>
      <c r="E18" s="177">
        <v>8418</v>
      </c>
      <c r="F18" s="177">
        <v>8429</v>
      </c>
      <c r="G18" s="177">
        <v>8669</v>
      </c>
      <c r="H18" s="177">
        <v>8858</v>
      </c>
      <c r="I18" s="177">
        <v>9167</v>
      </c>
      <c r="J18" s="213">
        <f>H18/$H$20</f>
        <v>0.49400479616306953</v>
      </c>
      <c r="K18" s="196">
        <f t="shared" si="0"/>
        <v>897</v>
      </c>
      <c r="L18" s="201">
        <f t="shared" si="1"/>
        <v>0.10846432889963724</v>
      </c>
      <c r="M18" s="179">
        <v>34.202926669104315</v>
      </c>
    </row>
    <row r="19" spans="2:13" x14ac:dyDescent="0.25">
      <c r="B19" s="175" t="s">
        <v>70</v>
      </c>
      <c r="C19" s="176" t="s">
        <v>113</v>
      </c>
      <c r="D19" s="177">
        <v>3965</v>
      </c>
      <c r="E19" s="177">
        <v>4053</v>
      </c>
      <c r="F19" s="177">
        <v>4067</v>
      </c>
      <c r="G19" s="177">
        <v>4181</v>
      </c>
      <c r="H19" s="177">
        <v>4291</v>
      </c>
      <c r="I19" s="177">
        <v>4399</v>
      </c>
      <c r="J19" s="178">
        <f t="shared" ref="J19:J20" si="4">H19/$H$20</f>
        <v>0.23930622943505661</v>
      </c>
      <c r="K19" s="196">
        <f t="shared" si="0"/>
        <v>434</v>
      </c>
      <c r="L19" s="201">
        <f t="shared" si="1"/>
        <v>0.1094577553593947</v>
      </c>
      <c r="M19" s="179">
        <v>29.437351106828341</v>
      </c>
    </row>
    <row r="20" spans="2:13" ht="14.25" customHeight="1" x14ac:dyDescent="0.25">
      <c r="B20" s="345" t="s">
        <v>114</v>
      </c>
      <c r="C20" s="346"/>
      <c r="D20" s="180">
        <v>16655</v>
      </c>
      <c r="E20" s="180">
        <v>16991</v>
      </c>
      <c r="F20" s="180">
        <v>17029</v>
      </c>
      <c r="G20" s="180">
        <v>17505</v>
      </c>
      <c r="H20" s="180">
        <f>SUM(H17:H19)</f>
        <v>17931</v>
      </c>
      <c r="I20" s="180">
        <f>SUM(I17:I19)</f>
        <v>18500</v>
      </c>
      <c r="J20" s="181">
        <f t="shared" si="4"/>
        <v>1</v>
      </c>
      <c r="K20" s="197">
        <f t="shared" si="0"/>
        <v>1845</v>
      </c>
      <c r="L20" s="202">
        <f t="shared" si="1"/>
        <v>0.1107775442809967</v>
      </c>
      <c r="M20" s="182">
        <f>'Démographie des asso'!F6</f>
        <v>32.678064540060653</v>
      </c>
    </row>
    <row r="21" spans="2:13" x14ac:dyDescent="0.25">
      <c r="B21" s="175" t="s">
        <v>71</v>
      </c>
      <c r="C21" s="176" t="s">
        <v>115</v>
      </c>
      <c r="D21" s="177">
        <v>2844</v>
      </c>
      <c r="E21" s="177">
        <v>2922</v>
      </c>
      <c r="F21" s="177">
        <v>2946</v>
      </c>
      <c r="G21" s="177">
        <v>3101</v>
      </c>
      <c r="H21" s="177">
        <v>3231</v>
      </c>
      <c r="I21" s="177">
        <v>3375</v>
      </c>
      <c r="J21" s="178">
        <f>H21/$H$24</f>
        <v>0.19058573703769244</v>
      </c>
      <c r="K21" s="196">
        <f t="shared" si="0"/>
        <v>531</v>
      </c>
      <c r="L21" s="201">
        <f t="shared" si="1"/>
        <v>0.18670886075949367</v>
      </c>
      <c r="M21" s="179">
        <v>23.554454409044912</v>
      </c>
    </row>
    <row r="22" spans="2:13" x14ac:dyDescent="0.25">
      <c r="B22" s="175" t="s">
        <v>71</v>
      </c>
      <c r="C22" s="176" t="s">
        <v>116</v>
      </c>
      <c r="D22" s="177">
        <v>8043</v>
      </c>
      <c r="E22" s="177">
        <v>8368</v>
      </c>
      <c r="F22" s="177">
        <v>8424</v>
      </c>
      <c r="G22" s="177">
        <v>8611</v>
      </c>
      <c r="H22" s="177">
        <v>8893</v>
      </c>
      <c r="I22" s="177">
        <v>9282</v>
      </c>
      <c r="J22" s="213">
        <f>H22/$H$24</f>
        <v>0.5245679230814605</v>
      </c>
      <c r="K22" s="196">
        <f t="shared" si="0"/>
        <v>1239</v>
      </c>
      <c r="L22" s="201">
        <f t="shared" si="1"/>
        <v>0.15404699738903394</v>
      </c>
      <c r="M22" s="179">
        <v>30.530785702303461</v>
      </c>
    </row>
    <row r="23" spans="2:13" x14ac:dyDescent="0.25">
      <c r="B23" s="175" t="s">
        <v>71</v>
      </c>
      <c r="C23" s="176" t="s">
        <v>117</v>
      </c>
      <c r="D23" s="177">
        <v>4126</v>
      </c>
      <c r="E23" s="177">
        <v>4326</v>
      </c>
      <c r="F23" s="177">
        <v>4368</v>
      </c>
      <c r="G23" s="177">
        <v>4579</v>
      </c>
      <c r="H23" s="177">
        <v>4829</v>
      </c>
      <c r="I23" s="177">
        <v>5224</v>
      </c>
      <c r="J23" s="178">
        <f t="shared" ref="J23:J24" si="5">H23/$H$24</f>
        <v>0.28484633988084707</v>
      </c>
      <c r="K23" s="196">
        <f>I23-D23</f>
        <v>1098</v>
      </c>
      <c r="L23" s="201">
        <f t="shared" si="1"/>
        <v>0.26611730489578284</v>
      </c>
      <c r="M23" s="179">
        <v>20.371634137305751</v>
      </c>
    </row>
    <row r="24" spans="2:13" x14ac:dyDescent="0.25">
      <c r="B24" s="345" t="s">
        <v>118</v>
      </c>
      <c r="C24" s="346"/>
      <c r="D24" s="180">
        <v>15013</v>
      </c>
      <c r="E24" s="180">
        <v>15616</v>
      </c>
      <c r="F24" s="180">
        <v>15738</v>
      </c>
      <c r="G24" s="180">
        <v>16291</v>
      </c>
      <c r="H24" s="180">
        <f>SUM(H21:H23)</f>
        <v>16953</v>
      </c>
      <c r="I24" s="180">
        <f>SUM(I21:I23)</f>
        <v>17881</v>
      </c>
      <c r="J24" s="181">
        <f t="shared" si="5"/>
        <v>1</v>
      </c>
      <c r="K24" s="197">
        <f>I24-D24</f>
        <v>2868</v>
      </c>
      <c r="L24" s="202">
        <f t="shared" si="1"/>
        <v>0.19103443682142143</v>
      </c>
      <c r="M24" s="182">
        <f>'Démographie des asso'!G6</f>
        <v>25.31489658706889</v>
      </c>
    </row>
    <row r="25" spans="2:13" x14ac:dyDescent="0.25">
      <c r="B25" s="183"/>
      <c r="C25" s="184"/>
      <c r="D25" s="185"/>
      <c r="E25" s="185"/>
      <c r="F25" s="185"/>
      <c r="G25" s="185"/>
      <c r="H25" s="185"/>
      <c r="I25" s="185"/>
      <c r="J25" s="186"/>
      <c r="K25" s="198"/>
      <c r="L25" s="203"/>
      <c r="M25" s="187"/>
    </row>
    <row r="26" spans="2:13" x14ac:dyDescent="0.25">
      <c r="B26" s="343" t="s">
        <v>12</v>
      </c>
      <c r="C26" s="344"/>
      <c r="D26" s="188">
        <v>88994</v>
      </c>
      <c r="E26" s="188">
        <v>95653</v>
      </c>
      <c r="F26" s="188">
        <v>96583</v>
      </c>
      <c r="G26" s="188">
        <v>100019</v>
      </c>
      <c r="H26" s="188">
        <f>H7+H12+H16+H20+H24</f>
        <v>103535</v>
      </c>
      <c r="I26" s="188">
        <f>I7+I12+I16+I20+I24</f>
        <v>108318</v>
      </c>
      <c r="J26" s="189"/>
      <c r="K26" s="199">
        <f>I26-D26</f>
        <v>19324</v>
      </c>
      <c r="L26" s="204">
        <f>K26/D26</f>
        <v>0.21713823403824978</v>
      </c>
      <c r="M26" s="188">
        <f>'Démographie des asso'!H6</f>
        <v>27.922652412239998</v>
      </c>
    </row>
    <row r="27" spans="2:13" x14ac:dyDescent="0.25">
      <c r="M27" s="190" t="s">
        <v>212</v>
      </c>
    </row>
    <row r="30" spans="2:13" x14ac:dyDescent="0.25">
      <c r="G30" s="177"/>
      <c r="H30" s="177"/>
      <c r="I30" s="330"/>
    </row>
  </sheetData>
  <mergeCells count="12">
    <mergeCell ref="B26:C26"/>
    <mergeCell ref="B7:C7"/>
    <mergeCell ref="B12:C12"/>
    <mergeCell ref="B16:C16"/>
    <mergeCell ref="B20:C20"/>
    <mergeCell ref="B24:C24"/>
    <mergeCell ref="M2:M3"/>
    <mergeCell ref="B2:B3"/>
    <mergeCell ref="C2:C3"/>
    <mergeCell ref="J2:J3"/>
    <mergeCell ref="K2:L2"/>
    <mergeCell ref="D2:I2"/>
  </mergeCells>
  <conditionalFormatting sqref="M8:M11 M13:M15 M17:M19 M21:M23 M4:M6">
    <cfRule type="colorScale" priority="1">
      <colorScale>
        <cfvo type="min"/>
        <cfvo type="max"/>
        <color rgb="FFFCFCFF"/>
        <color rgb="FF63BE7B"/>
      </colorScale>
    </cfRule>
  </conditionalFormatting>
  <pageMargins left="0.7" right="0.7" top="0.75" bottom="0.75" header="0.3" footer="0.3"/>
  <pageSetup paperSize="9" orientation="portrait" r:id="rId1"/>
  <ignoredErrors>
    <ignoredError sqref="B4 B7:C7 B5 B6 B12:C12 B8 B9 B10 B11 B16:C16 B13 B14 B15 B20:C20 B17 B18 B19 B23 B21 B22" numberStoredAsText="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S36"/>
  <sheetViews>
    <sheetView zoomScaleNormal="100" workbookViewId="0">
      <selection activeCell="U31" sqref="U31"/>
    </sheetView>
  </sheetViews>
  <sheetFormatPr baseColWidth="10" defaultRowHeight="15" x14ac:dyDescent="0.25"/>
  <cols>
    <col min="1" max="1" width="7.85546875" customWidth="1"/>
    <col min="2" max="2" width="5.5703125" customWidth="1"/>
    <col min="3" max="3" width="14.28515625" customWidth="1"/>
    <col min="11" max="11" width="13.5703125" customWidth="1"/>
  </cols>
  <sheetData>
    <row r="2" spans="2:17" ht="18.75" x14ac:dyDescent="0.3">
      <c r="C2" s="206" t="s">
        <v>125</v>
      </c>
      <c r="D2" s="207"/>
      <c r="E2" s="207"/>
      <c r="F2" s="207"/>
      <c r="G2" s="207"/>
      <c r="H2" s="207"/>
      <c r="I2" s="207"/>
      <c r="J2" s="207"/>
      <c r="K2" s="206" t="s">
        <v>215</v>
      </c>
      <c r="L2" s="206"/>
    </row>
    <row r="3" spans="2:17" x14ac:dyDescent="0.25">
      <c r="C3" s="208" t="s">
        <v>126</v>
      </c>
      <c r="D3" s="208" t="s">
        <v>67</v>
      </c>
      <c r="E3" s="208" t="s">
        <v>68</v>
      </c>
      <c r="F3" s="208" t="s">
        <v>69</v>
      </c>
      <c r="G3" s="208" t="s">
        <v>70</v>
      </c>
      <c r="H3" s="208" t="s">
        <v>71</v>
      </c>
      <c r="I3" s="208" t="s">
        <v>124</v>
      </c>
      <c r="K3" s="208" t="s">
        <v>126</v>
      </c>
      <c r="L3" s="208" t="s">
        <v>67</v>
      </c>
      <c r="M3" s="208" t="s">
        <v>68</v>
      </c>
      <c r="N3" s="208" t="s">
        <v>69</v>
      </c>
      <c r="O3" s="208" t="s">
        <v>70</v>
      </c>
      <c r="P3" s="208" t="s">
        <v>71</v>
      </c>
      <c r="Q3" s="208" t="s">
        <v>124</v>
      </c>
    </row>
    <row r="4" spans="2:17" x14ac:dyDescent="0.25">
      <c r="B4" s="356">
        <v>2024</v>
      </c>
      <c r="C4" s="209" t="s">
        <v>127</v>
      </c>
      <c r="D4" s="228">
        <v>169</v>
      </c>
      <c r="E4" s="228">
        <v>78</v>
      </c>
      <c r="F4" s="228">
        <v>26</v>
      </c>
      <c r="G4" s="228">
        <v>54</v>
      </c>
      <c r="H4" s="228">
        <v>58</v>
      </c>
      <c r="I4" s="229">
        <f>SUM(D4:H4)</f>
        <v>385</v>
      </c>
      <c r="J4" s="230"/>
      <c r="K4" s="209" t="s">
        <v>127</v>
      </c>
      <c r="L4" s="305">
        <f>D4-D20</f>
        <v>-10</v>
      </c>
      <c r="M4" s="305">
        <f t="shared" ref="M4:Q4" si="0">E4-E20</f>
        <v>-3</v>
      </c>
      <c r="N4" s="305">
        <f t="shared" si="0"/>
        <v>-7</v>
      </c>
      <c r="O4" s="305">
        <f t="shared" si="0"/>
        <v>4</v>
      </c>
      <c r="P4" s="305">
        <f t="shared" si="0"/>
        <v>-11</v>
      </c>
      <c r="Q4" s="305">
        <f t="shared" si="0"/>
        <v>-27</v>
      </c>
    </row>
    <row r="5" spans="2:17" x14ac:dyDescent="0.25">
      <c r="B5" s="356"/>
      <c r="C5" s="209" t="s">
        <v>128</v>
      </c>
      <c r="D5" s="228">
        <v>142</v>
      </c>
      <c r="E5" s="228">
        <v>90</v>
      </c>
      <c r="F5" s="228">
        <v>33</v>
      </c>
      <c r="G5" s="228">
        <v>46</v>
      </c>
      <c r="H5" s="228">
        <v>75</v>
      </c>
      <c r="I5" s="229">
        <f t="shared" ref="I5:I15" si="1">SUM(D5:H5)</f>
        <v>386</v>
      </c>
      <c r="K5" s="209" t="s">
        <v>128</v>
      </c>
      <c r="L5" s="305">
        <f t="shared" ref="L5:L12" si="2">D5-D21</f>
        <v>-17</v>
      </c>
      <c r="M5" s="305">
        <f t="shared" ref="M5:Q12" si="3">E5-E21</f>
        <v>25</v>
      </c>
      <c r="N5" s="305">
        <f t="shared" si="3"/>
        <v>15</v>
      </c>
      <c r="O5" s="305">
        <f t="shared" si="3"/>
        <v>1</v>
      </c>
      <c r="P5" s="305">
        <f t="shared" si="3"/>
        <v>13</v>
      </c>
      <c r="Q5" s="305">
        <f t="shared" si="3"/>
        <v>37</v>
      </c>
    </row>
    <row r="6" spans="2:17" x14ac:dyDescent="0.25">
      <c r="B6" s="356"/>
      <c r="C6" s="209" t="s">
        <v>129</v>
      </c>
      <c r="D6" s="228">
        <v>166</v>
      </c>
      <c r="E6" s="228">
        <v>85</v>
      </c>
      <c r="F6" s="228">
        <v>27</v>
      </c>
      <c r="G6" s="228">
        <v>56</v>
      </c>
      <c r="H6" s="228">
        <v>67</v>
      </c>
      <c r="I6" s="229">
        <f t="shared" si="1"/>
        <v>401</v>
      </c>
      <c r="K6" s="209" t="s">
        <v>129</v>
      </c>
      <c r="L6" s="305">
        <f t="shared" si="2"/>
        <v>-20</v>
      </c>
      <c r="M6" s="305">
        <f t="shared" si="3"/>
        <v>1</v>
      </c>
      <c r="N6" s="305">
        <f t="shared" si="3"/>
        <v>6</v>
      </c>
      <c r="O6" s="305">
        <f t="shared" si="3"/>
        <v>6</v>
      </c>
      <c r="P6" s="305">
        <f t="shared" si="3"/>
        <v>8</v>
      </c>
      <c r="Q6" s="305">
        <f t="shared" si="3"/>
        <v>1</v>
      </c>
    </row>
    <row r="7" spans="2:17" x14ac:dyDescent="0.25">
      <c r="B7" s="356"/>
      <c r="C7" s="209" t="s">
        <v>130</v>
      </c>
      <c r="D7" s="228">
        <v>164</v>
      </c>
      <c r="E7" s="228">
        <v>75</v>
      </c>
      <c r="F7" s="228">
        <v>22</v>
      </c>
      <c r="G7" s="228">
        <v>54</v>
      </c>
      <c r="H7" s="228">
        <v>74</v>
      </c>
      <c r="I7" s="229">
        <f t="shared" si="1"/>
        <v>389</v>
      </c>
      <c r="J7" s="230"/>
      <c r="K7" s="209" t="s">
        <v>130</v>
      </c>
      <c r="L7" s="305">
        <f t="shared" si="2"/>
        <v>25</v>
      </c>
      <c r="M7" s="305">
        <f t="shared" si="3"/>
        <v>14</v>
      </c>
      <c r="N7" s="305">
        <f t="shared" si="3"/>
        <v>0</v>
      </c>
      <c r="O7" s="305">
        <f t="shared" si="3"/>
        <v>9</v>
      </c>
      <c r="P7" s="305">
        <f t="shared" si="3"/>
        <v>28</v>
      </c>
      <c r="Q7" s="305">
        <f t="shared" si="3"/>
        <v>76</v>
      </c>
    </row>
    <row r="8" spans="2:17" x14ac:dyDescent="0.25">
      <c r="B8" s="356"/>
      <c r="C8" s="209" t="s">
        <v>131</v>
      </c>
      <c r="D8" s="228">
        <v>158</v>
      </c>
      <c r="E8" s="228">
        <v>73</v>
      </c>
      <c r="F8" s="228">
        <v>27</v>
      </c>
      <c r="G8" s="228">
        <v>51</v>
      </c>
      <c r="H8" s="228">
        <v>58</v>
      </c>
      <c r="I8" s="229">
        <f t="shared" si="1"/>
        <v>367</v>
      </c>
      <c r="K8" s="209" t="s">
        <v>131</v>
      </c>
      <c r="L8" s="305">
        <f>D8-D24</f>
        <v>3</v>
      </c>
      <c r="M8" s="305">
        <f t="shared" si="3"/>
        <v>11</v>
      </c>
      <c r="N8" s="305">
        <f t="shared" si="3"/>
        <v>-2</v>
      </c>
      <c r="O8" s="305">
        <f t="shared" si="3"/>
        <v>14</v>
      </c>
      <c r="P8" s="305">
        <f t="shared" si="3"/>
        <v>-6</v>
      </c>
      <c r="Q8" s="305">
        <f t="shared" si="3"/>
        <v>20</v>
      </c>
    </row>
    <row r="9" spans="2:17" x14ac:dyDescent="0.25">
      <c r="B9" s="356"/>
      <c r="C9" s="209" t="s">
        <v>132</v>
      </c>
      <c r="D9" s="228">
        <v>139</v>
      </c>
      <c r="E9" s="228">
        <v>63</v>
      </c>
      <c r="F9" s="228">
        <v>21</v>
      </c>
      <c r="G9" s="228">
        <v>34</v>
      </c>
      <c r="H9" s="228">
        <v>60</v>
      </c>
      <c r="I9" s="229">
        <f t="shared" si="1"/>
        <v>317</v>
      </c>
      <c r="K9" s="209" t="s">
        <v>132</v>
      </c>
      <c r="L9" s="305">
        <f t="shared" si="2"/>
        <v>34</v>
      </c>
      <c r="M9" s="305">
        <f t="shared" si="3"/>
        <v>-10</v>
      </c>
      <c r="N9" s="305">
        <f>F9-F25</f>
        <v>11</v>
      </c>
      <c r="O9" s="305">
        <f t="shared" si="3"/>
        <v>6</v>
      </c>
      <c r="P9" s="305">
        <f t="shared" si="3"/>
        <v>7</v>
      </c>
      <c r="Q9" s="305">
        <f t="shared" si="3"/>
        <v>48</v>
      </c>
    </row>
    <row r="10" spans="2:17" x14ac:dyDescent="0.25">
      <c r="B10" s="356"/>
      <c r="C10" s="209" t="s">
        <v>133</v>
      </c>
      <c r="D10" s="228">
        <v>122</v>
      </c>
      <c r="E10" s="228">
        <v>67</v>
      </c>
      <c r="F10" s="228">
        <v>26</v>
      </c>
      <c r="G10" s="228">
        <v>43</v>
      </c>
      <c r="H10" s="228">
        <v>61</v>
      </c>
      <c r="I10" s="229">
        <f t="shared" si="1"/>
        <v>319</v>
      </c>
      <c r="J10" s="230"/>
      <c r="K10" s="209" t="s">
        <v>133</v>
      </c>
      <c r="L10" s="305">
        <f t="shared" si="2"/>
        <v>-21</v>
      </c>
      <c r="M10" s="305">
        <f t="shared" si="3"/>
        <v>-12</v>
      </c>
      <c r="N10" s="305">
        <f t="shared" si="3"/>
        <v>6</v>
      </c>
      <c r="O10" s="305">
        <f t="shared" si="3"/>
        <v>15</v>
      </c>
      <c r="P10" s="305">
        <f t="shared" si="3"/>
        <v>6</v>
      </c>
      <c r="Q10" s="305">
        <f t="shared" si="3"/>
        <v>-6</v>
      </c>
    </row>
    <row r="11" spans="2:17" x14ac:dyDescent="0.25">
      <c r="B11" s="356"/>
      <c r="C11" s="209" t="s">
        <v>134</v>
      </c>
      <c r="D11" s="228">
        <v>100</v>
      </c>
      <c r="E11" s="228">
        <v>48</v>
      </c>
      <c r="F11" s="228">
        <v>15</v>
      </c>
      <c r="G11" s="228">
        <v>26</v>
      </c>
      <c r="H11" s="228">
        <v>34</v>
      </c>
      <c r="I11" s="229">
        <f t="shared" si="1"/>
        <v>223</v>
      </c>
      <c r="K11" s="209" t="s">
        <v>134</v>
      </c>
      <c r="L11" s="305">
        <f t="shared" si="2"/>
        <v>12</v>
      </c>
      <c r="M11" s="305">
        <f t="shared" si="3"/>
        <v>11</v>
      </c>
      <c r="N11" s="305">
        <f t="shared" si="3"/>
        <v>3</v>
      </c>
      <c r="O11" s="305">
        <f t="shared" si="3"/>
        <v>-8</v>
      </c>
      <c r="P11" s="305">
        <f t="shared" si="3"/>
        <v>7</v>
      </c>
      <c r="Q11" s="305">
        <f t="shared" si="3"/>
        <v>25</v>
      </c>
    </row>
    <row r="12" spans="2:17" x14ac:dyDescent="0.25">
      <c r="B12" s="356"/>
      <c r="C12" s="209" t="s">
        <v>135</v>
      </c>
      <c r="D12" s="228">
        <v>112</v>
      </c>
      <c r="E12" s="228">
        <v>66</v>
      </c>
      <c r="F12" s="228">
        <v>21</v>
      </c>
      <c r="G12" s="228">
        <v>38</v>
      </c>
      <c r="H12" s="228">
        <v>57</v>
      </c>
      <c r="I12" s="229">
        <f t="shared" si="1"/>
        <v>294</v>
      </c>
      <c r="K12" s="209" t="s">
        <v>135</v>
      </c>
      <c r="L12" s="305">
        <f t="shared" si="2"/>
        <v>-16</v>
      </c>
      <c r="M12" s="305">
        <f t="shared" si="3"/>
        <v>2</v>
      </c>
      <c r="N12" s="305">
        <f>F12-F28</f>
        <v>-12</v>
      </c>
      <c r="O12" s="305">
        <f t="shared" si="3"/>
        <v>-8</v>
      </c>
      <c r="P12" s="305">
        <f t="shared" si="3"/>
        <v>-4</v>
      </c>
      <c r="Q12" s="305">
        <f t="shared" si="3"/>
        <v>-38</v>
      </c>
    </row>
    <row r="13" spans="2:17" x14ac:dyDescent="0.25">
      <c r="B13" s="357"/>
      <c r="C13" s="209" t="s">
        <v>136</v>
      </c>
      <c r="D13" s="228">
        <v>181</v>
      </c>
      <c r="E13" s="228">
        <v>78</v>
      </c>
      <c r="F13" s="228">
        <v>30</v>
      </c>
      <c r="G13" s="228">
        <v>76</v>
      </c>
      <c r="H13" s="228">
        <v>77</v>
      </c>
      <c r="I13" s="229">
        <f t="shared" si="1"/>
        <v>442</v>
      </c>
      <c r="J13" s="230"/>
      <c r="K13" s="209" t="s">
        <v>136</v>
      </c>
      <c r="L13" s="305">
        <f t="shared" ref="L13:Q13" si="4">D13-D29</f>
        <v>26</v>
      </c>
      <c r="M13" s="305">
        <f t="shared" si="4"/>
        <v>3</v>
      </c>
      <c r="N13" s="305">
        <f t="shared" si="4"/>
        <v>-11</v>
      </c>
      <c r="O13" s="305">
        <f>G13-G29</f>
        <v>28</v>
      </c>
      <c r="P13" s="305">
        <f>H13-H29</f>
        <v>30</v>
      </c>
      <c r="Q13" s="305">
        <f t="shared" si="4"/>
        <v>76</v>
      </c>
    </row>
    <row r="14" spans="2:17" x14ac:dyDescent="0.25">
      <c r="B14" s="357"/>
      <c r="C14" s="209" t="s">
        <v>137</v>
      </c>
      <c r="D14" s="228">
        <v>176</v>
      </c>
      <c r="E14" s="228">
        <v>54</v>
      </c>
      <c r="F14" s="228">
        <v>16</v>
      </c>
      <c r="G14" s="228">
        <v>53</v>
      </c>
      <c r="H14" s="228">
        <v>48</v>
      </c>
      <c r="I14" s="229">
        <f t="shared" si="1"/>
        <v>347</v>
      </c>
      <c r="K14" s="209" t="s">
        <v>137</v>
      </c>
      <c r="L14" s="305">
        <f t="shared" ref="L14:Q14" si="5">D14-D30</f>
        <v>30</v>
      </c>
      <c r="M14" s="305">
        <f t="shared" si="5"/>
        <v>-13</v>
      </c>
      <c r="N14" s="305">
        <f t="shared" si="5"/>
        <v>-8</v>
      </c>
      <c r="O14" s="305">
        <f t="shared" si="5"/>
        <v>8</v>
      </c>
      <c r="P14" s="305">
        <f t="shared" si="5"/>
        <v>-11</v>
      </c>
      <c r="Q14" s="305">
        <f t="shared" si="5"/>
        <v>6</v>
      </c>
    </row>
    <row r="15" spans="2:17" x14ac:dyDescent="0.25">
      <c r="B15" s="357"/>
      <c r="C15" s="209" t="s">
        <v>138</v>
      </c>
      <c r="D15" s="228">
        <v>118</v>
      </c>
      <c r="E15" s="228">
        <v>49</v>
      </c>
      <c r="F15" s="228">
        <v>19</v>
      </c>
      <c r="G15" s="228">
        <v>32</v>
      </c>
      <c r="H15" s="228">
        <v>52</v>
      </c>
      <c r="I15" s="229">
        <f t="shared" si="1"/>
        <v>270</v>
      </c>
      <c r="K15" s="209" t="s">
        <v>138</v>
      </c>
      <c r="L15" s="305">
        <f t="shared" ref="L15:Q15" si="6">D15-D31</f>
        <v>-6</v>
      </c>
      <c r="M15" s="305">
        <f t="shared" si="6"/>
        <v>-9</v>
      </c>
      <c r="N15" s="305">
        <f>F15-F31</f>
        <v>-1</v>
      </c>
      <c r="O15" s="305">
        <f>G15-G31</f>
        <v>-6</v>
      </c>
      <c r="P15" s="305">
        <f t="shared" si="6"/>
        <v>6</v>
      </c>
      <c r="Q15" s="305">
        <f t="shared" si="6"/>
        <v>-16</v>
      </c>
    </row>
    <row r="16" spans="2:17" x14ac:dyDescent="0.25">
      <c r="B16" s="357"/>
      <c r="C16" s="317" t="s">
        <v>28</v>
      </c>
      <c r="D16" s="320">
        <f t="shared" ref="D16:I16" si="7">SUM(D4:D15)</f>
        <v>1747</v>
      </c>
      <c r="E16" s="320">
        <f t="shared" si="7"/>
        <v>826</v>
      </c>
      <c r="F16" s="320">
        <f t="shared" si="7"/>
        <v>283</v>
      </c>
      <c r="G16" s="320">
        <f t="shared" si="7"/>
        <v>563</v>
      </c>
      <c r="H16" s="320">
        <f t="shared" si="7"/>
        <v>721</v>
      </c>
      <c r="I16" s="320">
        <f t="shared" si="7"/>
        <v>4140</v>
      </c>
      <c r="K16" s="317" t="s">
        <v>28</v>
      </c>
      <c r="L16" s="319">
        <f t="shared" ref="L16:Q16" si="8">D16-D32</f>
        <v>40</v>
      </c>
      <c r="M16" s="319">
        <f t="shared" si="8"/>
        <v>20</v>
      </c>
      <c r="N16" s="319">
        <f t="shared" si="8"/>
        <v>0</v>
      </c>
      <c r="O16" s="319">
        <f t="shared" si="8"/>
        <v>69</v>
      </c>
      <c r="P16" s="319">
        <f t="shared" si="8"/>
        <v>73</v>
      </c>
      <c r="Q16" s="319">
        <f t="shared" si="8"/>
        <v>202</v>
      </c>
    </row>
    <row r="17" spans="2:19" x14ac:dyDescent="0.25">
      <c r="B17" s="226"/>
      <c r="C17" s="227"/>
      <c r="D17" s="45"/>
      <c r="E17" s="45"/>
      <c r="F17" s="45"/>
      <c r="G17" s="45"/>
      <c r="H17" s="45"/>
      <c r="I17" s="45"/>
    </row>
    <row r="18" spans="2:19" ht="18.75" x14ac:dyDescent="0.3">
      <c r="I18" s="205"/>
      <c r="K18" s="206" t="s">
        <v>216</v>
      </c>
      <c r="L18" s="206"/>
    </row>
    <row r="19" spans="2:19" x14ac:dyDescent="0.25">
      <c r="C19" s="208" t="s">
        <v>126</v>
      </c>
      <c r="D19" s="208" t="s">
        <v>67</v>
      </c>
      <c r="E19" s="208" t="s">
        <v>68</v>
      </c>
      <c r="F19" s="208" t="s">
        <v>69</v>
      </c>
      <c r="G19" s="208" t="s">
        <v>70</v>
      </c>
      <c r="H19" s="208" t="s">
        <v>71</v>
      </c>
      <c r="I19" s="208" t="s">
        <v>124</v>
      </c>
      <c r="K19" s="211" t="s">
        <v>126</v>
      </c>
      <c r="L19" s="208" t="s">
        <v>67</v>
      </c>
      <c r="M19" s="208" t="s">
        <v>68</v>
      </c>
      <c r="N19" s="208" t="s">
        <v>69</v>
      </c>
      <c r="O19" s="208" t="s">
        <v>70</v>
      </c>
      <c r="P19" s="208" t="s">
        <v>71</v>
      </c>
      <c r="Q19" s="208" t="s">
        <v>124</v>
      </c>
    </row>
    <row r="20" spans="2:19" ht="15" customHeight="1" x14ac:dyDescent="0.25">
      <c r="B20" s="356">
        <v>2019</v>
      </c>
      <c r="C20" s="209" t="s">
        <v>127</v>
      </c>
      <c r="D20" s="228">
        <v>179</v>
      </c>
      <c r="E20" s="228">
        <v>81</v>
      </c>
      <c r="F20" s="228">
        <v>33</v>
      </c>
      <c r="G20" s="228">
        <v>50</v>
      </c>
      <c r="H20" s="228">
        <v>69</v>
      </c>
      <c r="I20" s="229">
        <f>SUM(D20:H20)</f>
        <v>412</v>
      </c>
      <c r="J20" s="230"/>
      <c r="K20" s="209" t="s">
        <v>127</v>
      </c>
      <c r="L20" s="316">
        <f>L4/D20</f>
        <v>-5.5865921787709494E-2</v>
      </c>
      <c r="M20" s="316">
        <f t="shared" ref="M20:M28" si="9">M4/E20</f>
        <v>-3.7037037037037035E-2</v>
      </c>
      <c r="N20" s="316">
        <f t="shared" ref="N20:N27" si="10">N4/F20</f>
        <v>-0.21212121212121213</v>
      </c>
      <c r="O20" s="316">
        <f t="shared" ref="O20:O27" si="11">O4/G20</f>
        <v>0.08</v>
      </c>
      <c r="P20" s="316">
        <f t="shared" ref="P20:P28" si="12">P4/H20</f>
        <v>-0.15942028985507245</v>
      </c>
      <c r="Q20" s="316">
        <f t="shared" ref="Q20:Q28" si="13">Q4/I20</f>
        <v>-6.553398058252427E-2</v>
      </c>
      <c r="R20" s="347" t="s">
        <v>217</v>
      </c>
      <c r="S20" s="321"/>
    </row>
    <row r="21" spans="2:19" x14ac:dyDescent="0.25">
      <c r="B21" s="356"/>
      <c r="C21" s="209" t="s">
        <v>128</v>
      </c>
      <c r="D21" s="228">
        <v>159</v>
      </c>
      <c r="E21" s="228">
        <v>65</v>
      </c>
      <c r="F21" s="228">
        <v>18</v>
      </c>
      <c r="G21" s="228">
        <v>45</v>
      </c>
      <c r="H21" s="228">
        <v>62</v>
      </c>
      <c r="I21" s="229">
        <f t="shared" ref="I21:I31" si="14">SUM(D21:H21)</f>
        <v>349</v>
      </c>
      <c r="K21" s="209" t="s">
        <v>128</v>
      </c>
      <c r="L21" s="316">
        <f t="shared" ref="L21:L27" si="15">L5/D21</f>
        <v>-0.1069182389937107</v>
      </c>
      <c r="M21" s="316">
        <f t="shared" si="9"/>
        <v>0.38461538461538464</v>
      </c>
      <c r="N21" s="316">
        <f t="shared" si="10"/>
        <v>0.83333333333333337</v>
      </c>
      <c r="O21" s="316">
        <f t="shared" si="11"/>
        <v>2.2222222222222223E-2</v>
      </c>
      <c r="P21" s="316">
        <f t="shared" si="12"/>
        <v>0.20967741935483872</v>
      </c>
      <c r="Q21" s="316">
        <f t="shared" si="13"/>
        <v>0.10601719197707736</v>
      </c>
      <c r="R21" s="348"/>
    </row>
    <row r="22" spans="2:19" x14ac:dyDescent="0.25">
      <c r="B22" s="356"/>
      <c r="C22" s="209" t="s">
        <v>129</v>
      </c>
      <c r="D22" s="228">
        <v>186</v>
      </c>
      <c r="E22" s="228">
        <v>84</v>
      </c>
      <c r="F22" s="228">
        <v>21</v>
      </c>
      <c r="G22" s="228">
        <v>50</v>
      </c>
      <c r="H22" s="228">
        <v>59</v>
      </c>
      <c r="I22" s="229">
        <f t="shared" si="14"/>
        <v>400</v>
      </c>
      <c r="K22" s="209" t="s">
        <v>129</v>
      </c>
      <c r="L22" s="316">
        <f t="shared" si="15"/>
        <v>-0.10752688172043011</v>
      </c>
      <c r="M22" s="316">
        <f t="shared" si="9"/>
        <v>1.1904761904761904E-2</v>
      </c>
      <c r="N22" s="316">
        <f t="shared" si="10"/>
        <v>0.2857142857142857</v>
      </c>
      <c r="O22" s="316">
        <f t="shared" si="11"/>
        <v>0.12</v>
      </c>
      <c r="P22" s="316">
        <f t="shared" si="12"/>
        <v>0.13559322033898305</v>
      </c>
      <c r="Q22" s="316">
        <f t="shared" si="13"/>
        <v>2.5000000000000001E-3</v>
      </c>
      <c r="R22" s="349"/>
    </row>
    <row r="23" spans="2:19" ht="15" customHeight="1" x14ac:dyDescent="0.25">
      <c r="B23" s="356"/>
      <c r="C23" s="209" t="s">
        <v>130</v>
      </c>
      <c r="D23" s="228">
        <v>139</v>
      </c>
      <c r="E23" s="228">
        <v>61</v>
      </c>
      <c r="F23" s="228">
        <v>22</v>
      </c>
      <c r="G23" s="228">
        <v>45</v>
      </c>
      <c r="H23" s="228">
        <v>46</v>
      </c>
      <c r="I23" s="229">
        <f t="shared" si="14"/>
        <v>313</v>
      </c>
      <c r="J23" s="230"/>
      <c r="K23" s="209" t="s">
        <v>130</v>
      </c>
      <c r="L23" s="316">
        <f>L7/D23</f>
        <v>0.17985611510791366</v>
      </c>
      <c r="M23" s="316">
        <f t="shared" si="9"/>
        <v>0.22950819672131148</v>
      </c>
      <c r="N23" s="316">
        <f t="shared" si="10"/>
        <v>0</v>
      </c>
      <c r="O23" s="316">
        <f t="shared" si="11"/>
        <v>0.2</v>
      </c>
      <c r="P23" s="316">
        <f t="shared" si="12"/>
        <v>0.60869565217391308</v>
      </c>
      <c r="Q23" s="316">
        <f t="shared" si="13"/>
        <v>0.24281150159744408</v>
      </c>
      <c r="R23" s="350" t="s">
        <v>218</v>
      </c>
      <c r="S23" s="321"/>
    </row>
    <row r="24" spans="2:19" x14ac:dyDescent="0.25">
      <c r="B24" s="356"/>
      <c r="C24" s="209" t="s">
        <v>131</v>
      </c>
      <c r="D24" s="228">
        <v>155</v>
      </c>
      <c r="E24" s="228">
        <v>62</v>
      </c>
      <c r="F24" s="228">
        <v>29</v>
      </c>
      <c r="G24" s="228">
        <v>37</v>
      </c>
      <c r="H24" s="228">
        <v>64</v>
      </c>
      <c r="I24" s="229">
        <f t="shared" si="14"/>
        <v>347</v>
      </c>
      <c r="K24" s="209" t="s">
        <v>131</v>
      </c>
      <c r="L24" s="316">
        <f t="shared" si="15"/>
        <v>1.935483870967742E-2</v>
      </c>
      <c r="M24" s="316">
        <f t="shared" si="9"/>
        <v>0.17741935483870969</v>
      </c>
      <c r="N24" s="316">
        <f t="shared" si="10"/>
        <v>-6.8965517241379309E-2</v>
      </c>
      <c r="O24" s="316">
        <f t="shared" si="11"/>
        <v>0.3783783783783784</v>
      </c>
      <c r="P24" s="316">
        <f t="shared" si="12"/>
        <v>-9.375E-2</v>
      </c>
      <c r="Q24" s="316">
        <f t="shared" si="13"/>
        <v>5.7636887608069162E-2</v>
      </c>
      <c r="R24" s="351"/>
    </row>
    <row r="25" spans="2:19" x14ac:dyDescent="0.25">
      <c r="B25" s="356"/>
      <c r="C25" s="209" t="s">
        <v>132</v>
      </c>
      <c r="D25" s="228">
        <v>105</v>
      </c>
      <c r="E25" s="228">
        <v>73</v>
      </c>
      <c r="F25" s="228">
        <v>10</v>
      </c>
      <c r="G25" s="228">
        <v>28</v>
      </c>
      <c r="H25" s="228">
        <v>53</v>
      </c>
      <c r="I25" s="229">
        <f t="shared" si="14"/>
        <v>269</v>
      </c>
      <c r="K25" s="209" t="s">
        <v>132</v>
      </c>
      <c r="L25" s="316">
        <f t="shared" si="15"/>
        <v>0.32380952380952382</v>
      </c>
      <c r="M25" s="316">
        <f>M9/E25</f>
        <v>-0.13698630136986301</v>
      </c>
      <c r="N25" s="316">
        <f>N9/F25</f>
        <v>1.1000000000000001</v>
      </c>
      <c r="O25" s="316">
        <f t="shared" si="11"/>
        <v>0.21428571428571427</v>
      </c>
      <c r="P25" s="316">
        <f t="shared" si="12"/>
        <v>0.13207547169811321</v>
      </c>
      <c r="Q25" s="316">
        <f t="shared" si="13"/>
        <v>0.17843866171003717</v>
      </c>
      <c r="R25" s="352"/>
    </row>
    <row r="26" spans="2:19" ht="15" customHeight="1" x14ac:dyDescent="0.25">
      <c r="B26" s="356"/>
      <c r="C26" s="209" t="s">
        <v>133</v>
      </c>
      <c r="D26" s="228">
        <v>143</v>
      </c>
      <c r="E26" s="228">
        <v>79</v>
      </c>
      <c r="F26" s="228">
        <v>20</v>
      </c>
      <c r="G26" s="228">
        <v>28</v>
      </c>
      <c r="H26" s="228">
        <v>55</v>
      </c>
      <c r="I26" s="229">
        <f t="shared" si="14"/>
        <v>325</v>
      </c>
      <c r="J26" s="230"/>
      <c r="K26" s="209" t="s">
        <v>133</v>
      </c>
      <c r="L26" s="316">
        <f>L10/D26</f>
        <v>-0.14685314685314685</v>
      </c>
      <c r="M26" s="316">
        <f>M10/E26</f>
        <v>-0.15189873417721519</v>
      </c>
      <c r="N26" s="316">
        <f t="shared" si="10"/>
        <v>0.3</v>
      </c>
      <c r="O26" s="316">
        <f>O10/G26</f>
        <v>0.5357142857142857</v>
      </c>
      <c r="P26" s="316">
        <f t="shared" si="12"/>
        <v>0.10909090909090909</v>
      </c>
      <c r="Q26" s="316">
        <f t="shared" si="13"/>
        <v>-1.8461538461538463E-2</v>
      </c>
      <c r="R26" s="353" t="s">
        <v>219</v>
      </c>
      <c r="S26" s="321"/>
    </row>
    <row r="27" spans="2:19" x14ac:dyDescent="0.25">
      <c r="B27" s="356"/>
      <c r="C27" s="209" t="s">
        <v>134</v>
      </c>
      <c r="D27" s="228">
        <v>88</v>
      </c>
      <c r="E27" s="228">
        <v>37</v>
      </c>
      <c r="F27" s="228">
        <v>12</v>
      </c>
      <c r="G27" s="228">
        <v>34</v>
      </c>
      <c r="H27" s="228">
        <v>27</v>
      </c>
      <c r="I27" s="229">
        <f t="shared" si="14"/>
        <v>198</v>
      </c>
      <c r="K27" s="209" t="s">
        <v>134</v>
      </c>
      <c r="L27" s="316">
        <f t="shared" si="15"/>
        <v>0.13636363636363635</v>
      </c>
      <c r="M27" s="316">
        <f t="shared" si="9"/>
        <v>0.29729729729729731</v>
      </c>
      <c r="N27" s="316">
        <f t="shared" si="10"/>
        <v>0.25</v>
      </c>
      <c r="O27" s="316">
        <f t="shared" si="11"/>
        <v>-0.23529411764705882</v>
      </c>
      <c r="P27" s="316">
        <f t="shared" si="12"/>
        <v>0.25925925925925924</v>
      </c>
      <c r="Q27" s="316">
        <f t="shared" si="13"/>
        <v>0.12626262626262627</v>
      </c>
      <c r="R27" s="354"/>
    </row>
    <row r="28" spans="2:19" x14ac:dyDescent="0.25">
      <c r="B28" s="356"/>
      <c r="C28" s="209" t="s">
        <v>135</v>
      </c>
      <c r="D28" s="228">
        <v>128</v>
      </c>
      <c r="E28" s="228">
        <v>64</v>
      </c>
      <c r="F28" s="228">
        <v>33</v>
      </c>
      <c r="G28" s="228">
        <v>46</v>
      </c>
      <c r="H28" s="228">
        <v>61</v>
      </c>
      <c r="I28" s="229">
        <f t="shared" si="14"/>
        <v>332</v>
      </c>
      <c r="K28" s="209" t="s">
        <v>135</v>
      </c>
      <c r="L28" s="316">
        <f>L12/D28</f>
        <v>-0.125</v>
      </c>
      <c r="M28" s="316">
        <f t="shared" si="9"/>
        <v>3.125E-2</v>
      </c>
      <c r="N28" s="316">
        <f>N12/F28</f>
        <v>-0.36363636363636365</v>
      </c>
      <c r="O28" s="316">
        <f>O12/G28</f>
        <v>-0.17391304347826086</v>
      </c>
      <c r="P28" s="316">
        <f t="shared" si="12"/>
        <v>-6.5573770491803282E-2</v>
      </c>
      <c r="Q28" s="316">
        <f t="shared" si="13"/>
        <v>-0.1144578313253012</v>
      </c>
      <c r="R28" s="355"/>
    </row>
    <row r="29" spans="2:19" ht="15" customHeight="1" x14ac:dyDescent="0.25">
      <c r="B29" s="358"/>
      <c r="C29" s="209" t="s">
        <v>136</v>
      </c>
      <c r="D29" s="228">
        <v>155</v>
      </c>
      <c r="E29" s="228">
        <v>75</v>
      </c>
      <c r="F29" s="228">
        <v>41</v>
      </c>
      <c r="G29" s="228">
        <v>48</v>
      </c>
      <c r="H29" s="228">
        <v>47</v>
      </c>
      <c r="I29" s="229">
        <f t="shared" si="14"/>
        <v>366</v>
      </c>
      <c r="J29" s="230"/>
      <c r="K29" s="209" t="s">
        <v>136</v>
      </c>
      <c r="L29" s="316">
        <f t="shared" ref="L29:Q29" si="16">L13/D29</f>
        <v>0.16774193548387098</v>
      </c>
      <c r="M29" s="316">
        <f t="shared" si="16"/>
        <v>0.04</v>
      </c>
      <c r="N29" s="316">
        <f t="shared" si="16"/>
        <v>-0.26829268292682928</v>
      </c>
      <c r="O29" s="316">
        <f t="shared" si="16"/>
        <v>0.58333333333333337</v>
      </c>
      <c r="P29" s="316">
        <f>P13/H29</f>
        <v>0.63829787234042556</v>
      </c>
      <c r="Q29" s="316">
        <f t="shared" si="16"/>
        <v>0.20765027322404372</v>
      </c>
      <c r="R29" s="350" t="s">
        <v>200</v>
      </c>
      <c r="S29" s="321"/>
    </row>
    <row r="30" spans="2:19" x14ac:dyDescent="0.25">
      <c r="B30" s="358"/>
      <c r="C30" s="209" t="s">
        <v>137</v>
      </c>
      <c r="D30" s="228">
        <v>146</v>
      </c>
      <c r="E30" s="228">
        <v>67</v>
      </c>
      <c r="F30" s="228">
        <v>24</v>
      </c>
      <c r="G30" s="228">
        <v>45</v>
      </c>
      <c r="H30" s="228">
        <v>59</v>
      </c>
      <c r="I30" s="229">
        <f t="shared" si="14"/>
        <v>341</v>
      </c>
      <c r="K30" s="209" t="s">
        <v>137</v>
      </c>
      <c r="L30" s="316">
        <f t="shared" ref="L30:Q30" si="17">L14/D30</f>
        <v>0.20547945205479451</v>
      </c>
      <c r="M30" s="316">
        <f t="shared" si="17"/>
        <v>-0.19402985074626866</v>
      </c>
      <c r="N30" s="316">
        <f t="shared" si="17"/>
        <v>-0.33333333333333331</v>
      </c>
      <c r="O30" s="316">
        <f t="shared" si="17"/>
        <v>0.17777777777777778</v>
      </c>
      <c r="P30" s="316">
        <f t="shared" si="17"/>
        <v>-0.1864406779661017</v>
      </c>
      <c r="Q30" s="316">
        <f t="shared" si="17"/>
        <v>1.7595307917888565E-2</v>
      </c>
      <c r="R30" s="351"/>
    </row>
    <row r="31" spans="2:19" x14ac:dyDescent="0.25">
      <c r="B31" s="358"/>
      <c r="C31" s="209" t="s">
        <v>138</v>
      </c>
      <c r="D31" s="228">
        <v>124</v>
      </c>
      <c r="E31" s="228">
        <v>58</v>
      </c>
      <c r="F31" s="228">
        <v>20</v>
      </c>
      <c r="G31" s="228">
        <v>38</v>
      </c>
      <c r="H31" s="228">
        <v>46</v>
      </c>
      <c r="I31" s="229">
        <f t="shared" si="14"/>
        <v>286</v>
      </c>
      <c r="K31" s="209" t="s">
        <v>138</v>
      </c>
      <c r="L31" s="316">
        <f t="shared" ref="L31:Q31" si="18">L15/D31</f>
        <v>-4.8387096774193547E-2</v>
      </c>
      <c r="M31" s="316">
        <f t="shared" si="18"/>
        <v>-0.15517241379310345</v>
      </c>
      <c r="N31" s="316">
        <f t="shared" si="18"/>
        <v>-0.05</v>
      </c>
      <c r="O31" s="316">
        <f t="shared" si="18"/>
        <v>-0.15789473684210525</v>
      </c>
      <c r="P31" s="316">
        <f t="shared" si="18"/>
        <v>0.13043478260869565</v>
      </c>
      <c r="Q31" s="316">
        <f t="shared" si="18"/>
        <v>-5.5944055944055944E-2</v>
      </c>
      <c r="R31" s="352"/>
    </row>
    <row r="32" spans="2:19" x14ac:dyDescent="0.25">
      <c r="B32" s="358"/>
      <c r="C32" s="317" t="s">
        <v>28</v>
      </c>
      <c r="D32" s="320">
        <f>SUM(D20:D31)</f>
        <v>1707</v>
      </c>
      <c r="E32" s="320">
        <f t="shared" ref="E32:I32" si="19">SUM(E20:E31)</f>
        <v>806</v>
      </c>
      <c r="F32" s="320">
        <f t="shared" si="19"/>
        <v>283</v>
      </c>
      <c r="G32" s="320">
        <f t="shared" si="19"/>
        <v>494</v>
      </c>
      <c r="H32" s="320">
        <f t="shared" si="19"/>
        <v>648</v>
      </c>
      <c r="I32" s="320">
        <f t="shared" si="19"/>
        <v>3938</v>
      </c>
      <c r="K32" s="317" t="s">
        <v>28</v>
      </c>
      <c r="L32" s="318">
        <f t="shared" ref="L32:P32" si="20">L16/D32</f>
        <v>2.3432923257176334E-2</v>
      </c>
      <c r="M32" s="318">
        <f t="shared" si="20"/>
        <v>2.4813895781637719E-2</v>
      </c>
      <c r="N32" s="318">
        <f t="shared" si="20"/>
        <v>0</v>
      </c>
      <c r="O32" s="318">
        <f t="shared" si="20"/>
        <v>0.1396761133603239</v>
      </c>
      <c r="P32" s="318">
        <f t="shared" si="20"/>
        <v>0.11265432098765432</v>
      </c>
      <c r="Q32" s="318">
        <f>Q16/I32</f>
        <v>5.1295073641442354E-2</v>
      </c>
    </row>
    <row r="33" spans="4:9" x14ac:dyDescent="0.25">
      <c r="D33" s="230"/>
      <c r="E33" s="230"/>
      <c r="F33" s="230"/>
      <c r="G33" s="230"/>
      <c r="H33" s="230"/>
      <c r="I33" s="230"/>
    </row>
    <row r="34" spans="4:9" x14ac:dyDescent="0.25">
      <c r="D34" s="230"/>
      <c r="E34" s="230"/>
      <c r="F34" s="230"/>
      <c r="G34" s="230"/>
      <c r="H34" s="230"/>
      <c r="I34" s="230"/>
    </row>
    <row r="35" spans="4:9" x14ac:dyDescent="0.25">
      <c r="D35" s="230"/>
      <c r="E35" s="230"/>
      <c r="F35" s="230"/>
      <c r="G35" s="230"/>
      <c r="H35" s="230"/>
      <c r="I35" s="230"/>
    </row>
    <row r="36" spans="4:9" x14ac:dyDescent="0.25">
      <c r="D36" s="214"/>
      <c r="E36" s="214"/>
      <c r="F36" s="214"/>
      <c r="G36" s="214"/>
      <c r="H36" s="214"/>
      <c r="I36" s="214"/>
    </row>
  </sheetData>
  <mergeCells count="6">
    <mergeCell ref="R20:R22"/>
    <mergeCell ref="R23:R25"/>
    <mergeCell ref="R26:R28"/>
    <mergeCell ref="B4:B16"/>
    <mergeCell ref="B20:B32"/>
    <mergeCell ref="R29:R31"/>
  </mergeCells>
  <conditionalFormatting sqref="L4:Q16">
    <cfRule type="cellIs" dxfId="7" priority="4" operator="greaterThan">
      <formula>9</formula>
    </cfRule>
    <cfRule type="cellIs" dxfId="6" priority="3" operator="lessThan">
      <formula>-9</formula>
    </cfRule>
  </conditionalFormatting>
  <conditionalFormatting sqref="L20:Q32">
    <cfRule type="cellIs" dxfId="5" priority="2" operator="greaterThan">
      <formula>0.099</formula>
    </cfRule>
    <cfRule type="cellIs" dxfId="4" priority="1" operator="lessThan">
      <formula>-0.099</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2:W32"/>
  <sheetViews>
    <sheetView topLeftCell="D1" zoomScaleNormal="100" workbookViewId="0">
      <selection activeCell="Y19" sqref="Y19"/>
    </sheetView>
  </sheetViews>
  <sheetFormatPr baseColWidth="10" defaultRowHeight="15" x14ac:dyDescent="0.25"/>
  <cols>
    <col min="1" max="1" width="7.85546875" customWidth="1"/>
    <col min="2" max="2" width="7" customWidth="1"/>
    <col min="5" max="5" width="12.7109375" customWidth="1"/>
    <col min="7" max="7" width="14.42578125" customWidth="1"/>
    <col min="13" max="13" width="7.7109375" customWidth="1"/>
    <col min="16" max="16" width="12.85546875" customWidth="1"/>
    <col min="18" max="18" width="14.5703125" customWidth="1"/>
  </cols>
  <sheetData>
    <row r="2" spans="2:23" ht="18.75" x14ac:dyDescent="0.3">
      <c r="C2" s="206" t="s">
        <v>144</v>
      </c>
      <c r="N2" s="206" t="s">
        <v>198</v>
      </c>
      <c r="O2" s="206"/>
    </row>
    <row r="3" spans="2:23" ht="45" x14ac:dyDescent="0.25">
      <c r="C3" s="211" t="s">
        <v>126</v>
      </c>
      <c r="D3" s="211" t="s">
        <v>17</v>
      </c>
      <c r="E3" s="212" t="s">
        <v>145</v>
      </c>
      <c r="F3" s="212" t="s">
        <v>140</v>
      </c>
      <c r="G3" s="212" t="s">
        <v>141</v>
      </c>
      <c r="H3" s="212" t="s">
        <v>142</v>
      </c>
      <c r="I3" s="212" t="s">
        <v>143</v>
      </c>
      <c r="J3" s="212" t="s">
        <v>16</v>
      </c>
      <c r="K3" s="212" t="s">
        <v>139</v>
      </c>
      <c r="L3" s="212" t="s">
        <v>28</v>
      </c>
      <c r="N3" s="211" t="s">
        <v>126</v>
      </c>
      <c r="O3" s="211" t="s">
        <v>17</v>
      </c>
      <c r="P3" s="212" t="s">
        <v>145</v>
      </c>
      <c r="Q3" s="212" t="s">
        <v>140</v>
      </c>
      <c r="R3" s="212" t="s">
        <v>141</v>
      </c>
      <c r="S3" s="212" t="s">
        <v>142</v>
      </c>
      <c r="T3" s="212" t="s">
        <v>143</v>
      </c>
      <c r="U3" s="212" t="s">
        <v>16</v>
      </c>
      <c r="V3" s="212" t="s">
        <v>139</v>
      </c>
      <c r="W3" s="212" t="s">
        <v>28</v>
      </c>
    </row>
    <row r="4" spans="2:23" x14ac:dyDescent="0.25">
      <c r="B4" s="359">
        <v>2024</v>
      </c>
      <c r="C4" s="209" t="s">
        <v>127</v>
      </c>
      <c r="D4" s="210">
        <v>89</v>
      </c>
      <c r="E4" s="210">
        <v>20</v>
      </c>
      <c r="F4" s="210">
        <v>16</v>
      </c>
      <c r="G4" s="210">
        <v>22</v>
      </c>
      <c r="H4" s="210">
        <v>86</v>
      </c>
      <c r="I4" s="210">
        <v>71</v>
      </c>
      <c r="J4" s="210">
        <v>67</v>
      </c>
      <c r="K4" s="210">
        <v>14</v>
      </c>
      <c r="L4" s="210">
        <f>SUM(D4:K4)</f>
        <v>385</v>
      </c>
      <c r="N4" s="209" t="s">
        <v>127</v>
      </c>
      <c r="O4" s="305">
        <f t="shared" ref="O4:O12" si="0">D4-D20</f>
        <v>-17</v>
      </c>
      <c r="P4" s="305">
        <f t="shared" ref="P4:P12" si="1">E4-E20</f>
        <v>-6</v>
      </c>
      <c r="Q4" s="305">
        <f t="shared" ref="Q4:Q12" si="2">F4-F20</f>
        <v>-3</v>
      </c>
      <c r="R4" s="305">
        <f t="shared" ref="R4:R12" si="3">G4-G20</f>
        <v>-4</v>
      </c>
      <c r="S4" s="305">
        <f t="shared" ref="S4:S12" si="4">H4-H20</f>
        <v>-5</v>
      </c>
      <c r="T4" s="305">
        <f t="shared" ref="T4:T12" si="5">I4-I20</f>
        <v>8</v>
      </c>
      <c r="U4" s="305">
        <f t="shared" ref="U4:U12" si="6">J4-J20</f>
        <v>-1</v>
      </c>
      <c r="V4" s="305">
        <f t="shared" ref="V4:V12" si="7">K4-K20</f>
        <v>1</v>
      </c>
      <c r="W4" s="305">
        <f t="shared" ref="W4:W12" si="8">L4-L20</f>
        <v>-27</v>
      </c>
    </row>
    <row r="5" spans="2:23" x14ac:dyDescent="0.25">
      <c r="B5" s="359"/>
      <c r="C5" s="209" t="s">
        <v>128</v>
      </c>
      <c r="D5" s="210">
        <v>99</v>
      </c>
      <c r="E5" s="210">
        <v>22</v>
      </c>
      <c r="F5" s="210">
        <v>19</v>
      </c>
      <c r="G5" s="210">
        <v>26</v>
      </c>
      <c r="H5" s="210">
        <v>78</v>
      </c>
      <c r="I5" s="210">
        <v>51</v>
      </c>
      <c r="J5" s="210">
        <v>77</v>
      </c>
      <c r="K5" s="210">
        <v>14</v>
      </c>
      <c r="L5" s="210">
        <f t="shared" ref="L5:L15" si="9">SUM(D5:K5)</f>
        <v>386</v>
      </c>
      <c r="N5" s="209" t="s">
        <v>128</v>
      </c>
      <c r="O5" s="305">
        <f t="shared" si="0"/>
        <v>24</v>
      </c>
      <c r="P5" s="305">
        <f t="shared" si="1"/>
        <v>3</v>
      </c>
      <c r="Q5" s="305">
        <f t="shared" si="2"/>
        <v>0</v>
      </c>
      <c r="R5" s="305">
        <f t="shared" si="3"/>
        <v>1</v>
      </c>
      <c r="S5" s="305">
        <f t="shared" si="4"/>
        <v>0</v>
      </c>
      <c r="T5" s="305">
        <f t="shared" si="5"/>
        <v>-9</v>
      </c>
      <c r="U5" s="305">
        <f t="shared" si="6"/>
        <v>22</v>
      </c>
      <c r="V5" s="305">
        <f t="shared" si="7"/>
        <v>-4</v>
      </c>
      <c r="W5" s="305">
        <f t="shared" si="8"/>
        <v>37</v>
      </c>
    </row>
    <row r="6" spans="2:23" x14ac:dyDescent="0.25">
      <c r="B6" s="359"/>
      <c r="C6" s="209" t="s">
        <v>129</v>
      </c>
      <c r="D6" s="210">
        <v>104</v>
      </c>
      <c r="E6" s="210">
        <v>21</v>
      </c>
      <c r="F6" s="210">
        <v>21</v>
      </c>
      <c r="G6" s="210">
        <v>23</v>
      </c>
      <c r="H6" s="210">
        <v>84</v>
      </c>
      <c r="I6" s="210">
        <v>63</v>
      </c>
      <c r="J6" s="210">
        <v>73</v>
      </c>
      <c r="K6" s="210">
        <v>12</v>
      </c>
      <c r="L6" s="210">
        <f t="shared" si="9"/>
        <v>401</v>
      </c>
      <c r="N6" s="209" t="s">
        <v>129</v>
      </c>
      <c r="O6" s="305">
        <f t="shared" si="0"/>
        <v>10</v>
      </c>
      <c r="P6" s="305">
        <f t="shared" si="1"/>
        <v>-1</v>
      </c>
      <c r="Q6" s="305">
        <f t="shared" si="2"/>
        <v>1</v>
      </c>
      <c r="R6" s="305">
        <f t="shared" si="3"/>
        <v>5</v>
      </c>
      <c r="S6" s="305">
        <f t="shared" si="4"/>
        <v>-17</v>
      </c>
      <c r="T6" s="305">
        <f t="shared" si="5"/>
        <v>9</v>
      </c>
      <c r="U6" s="305">
        <f t="shared" si="6"/>
        <v>1</v>
      </c>
      <c r="V6" s="305">
        <f t="shared" si="7"/>
        <v>-7</v>
      </c>
      <c r="W6" s="305">
        <f t="shared" si="8"/>
        <v>1</v>
      </c>
    </row>
    <row r="7" spans="2:23" x14ac:dyDescent="0.25">
      <c r="B7" s="359"/>
      <c r="C7" s="209" t="s">
        <v>130</v>
      </c>
      <c r="D7" s="210">
        <v>100</v>
      </c>
      <c r="E7" s="210">
        <v>24</v>
      </c>
      <c r="F7" s="210">
        <v>22</v>
      </c>
      <c r="G7" s="210">
        <v>21</v>
      </c>
      <c r="H7" s="210">
        <v>87</v>
      </c>
      <c r="I7" s="210">
        <v>48</v>
      </c>
      <c r="J7" s="210">
        <v>79</v>
      </c>
      <c r="K7" s="210">
        <v>8</v>
      </c>
      <c r="L7" s="210">
        <f t="shared" si="9"/>
        <v>389</v>
      </c>
      <c r="N7" s="209" t="s">
        <v>130</v>
      </c>
      <c r="O7" s="305">
        <f t="shared" si="0"/>
        <v>23</v>
      </c>
      <c r="P7" s="305">
        <f t="shared" si="1"/>
        <v>5</v>
      </c>
      <c r="Q7" s="305">
        <f t="shared" si="2"/>
        <v>8</v>
      </c>
      <c r="R7" s="305">
        <f t="shared" si="3"/>
        <v>2</v>
      </c>
      <c r="S7" s="305">
        <f t="shared" si="4"/>
        <v>22</v>
      </c>
      <c r="T7" s="305">
        <f t="shared" si="5"/>
        <v>-3</v>
      </c>
      <c r="U7" s="305">
        <f t="shared" si="6"/>
        <v>25</v>
      </c>
      <c r="V7" s="305">
        <f t="shared" si="7"/>
        <v>-6</v>
      </c>
      <c r="W7" s="305">
        <f t="shared" si="8"/>
        <v>76</v>
      </c>
    </row>
    <row r="8" spans="2:23" x14ac:dyDescent="0.25">
      <c r="B8" s="359"/>
      <c r="C8" s="209" t="s">
        <v>131</v>
      </c>
      <c r="D8" s="210">
        <v>81</v>
      </c>
      <c r="E8" s="210">
        <v>24</v>
      </c>
      <c r="F8" s="210">
        <v>35</v>
      </c>
      <c r="G8" s="210">
        <v>18</v>
      </c>
      <c r="H8" s="210">
        <v>89</v>
      </c>
      <c r="I8" s="210">
        <v>43</v>
      </c>
      <c r="J8" s="210">
        <v>66</v>
      </c>
      <c r="K8" s="210">
        <v>11</v>
      </c>
      <c r="L8" s="210">
        <f t="shared" si="9"/>
        <v>367</v>
      </c>
      <c r="N8" s="209" t="s">
        <v>131</v>
      </c>
      <c r="O8" s="305">
        <f t="shared" si="0"/>
        <v>4</v>
      </c>
      <c r="P8" s="305">
        <f t="shared" si="1"/>
        <v>2</v>
      </c>
      <c r="Q8" s="305">
        <f t="shared" si="2"/>
        <v>6</v>
      </c>
      <c r="R8" s="305">
        <f t="shared" si="3"/>
        <v>-10</v>
      </c>
      <c r="S8" s="305">
        <f t="shared" si="4"/>
        <v>21</v>
      </c>
      <c r="T8" s="305">
        <f t="shared" si="5"/>
        <v>-4</v>
      </c>
      <c r="U8" s="305">
        <f t="shared" si="6"/>
        <v>4</v>
      </c>
      <c r="V8" s="305">
        <f t="shared" si="7"/>
        <v>-3</v>
      </c>
      <c r="W8" s="305">
        <f t="shared" si="8"/>
        <v>20</v>
      </c>
    </row>
    <row r="9" spans="2:23" x14ac:dyDescent="0.25">
      <c r="B9" s="359"/>
      <c r="C9" s="209" t="s">
        <v>132</v>
      </c>
      <c r="D9" s="210">
        <v>82</v>
      </c>
      <c r="E9" s="210">
        <v>14</v>
      </c>
      <c r="F9" s="210">
        <v>9</v>
      </c>
      <c r="G9" s="210">
        <v>15</v>
      </c>
      <c r="H9" s="210">
        <v>78</v>
      </c>
      <c r="I9" s="210">
        <v>51</v>
      </c>
      <c r="J9" s="210">
        <v>55</v>
      </c>
      <c r="K9" s="210">
        <v>13</v>
      </c>
      <c r="L9" s="210">
        <f t="shared" si="9"/>
        <v>317</v>
      </c>
      <c r="N9" s="209" t="s">
        <v>132</v>
      </c>
      <c r="O9" s="305">
        <f t="shared" si="0"/>
        <v>14</v>
      </c>
      <c r="P9" s="305">
        <f t="shared" si="1"/>
        <v>-9</v>
      </c>
      <c r="Q9" s="305">
        <f t="shared" si="2"/>
        <v>-2</v>
      </c>
      <c r="R9" s="305">
        <f t="shared" si="3"/>
        <v>-1</v>
      </c>
      <c r="S9" s="305">
        <f t="shared" si="4"/>
        <v>12</v>
      </c>
      <c r="T9" s="305">
        <f t="shared" si="5"/>
        <v>14</v>
      </c>
      <c r="U9" s="305">
        <f t="shared" si="6"/>
        <v>17</v>
      </c>
      <c r="V9" s="305">
        <f t="shared" si="7"/>
        <v>3</v>
      </c>
      <c r="W9" s="305">
        <f t="shared" si="8"/>
        <v>48</v>
      </c>
    </row>
    <row r="10" spans="2:23" x14ac:dyDescent="0.25">
      <c r="B10" s="359"/>
      <c r="C10" s="209" t="s">
        <v>133</v>
      </c>
      <c r="D10" s="210">
        <v>79</v>
      </c>
      <c r="E10" s="210">
        <v>13</v>
      </c>
      <c r="F10" s="210">
        <v>13</v>
      </c>
      <c r="G10" s="210">
        <v>14</v>
      </c>
      <c r="H10" s="210">
        <v>84</v>
      </c>
      <c r="I10" s="210">
        <v>38</v>
      </c>
      <c r="J10" s="210">
        <v>66</v>
      </c>
      <c r="K10" s="210">
        <v>12</v>
      </c>
      <c r="L10" s="210">
        <f t="shared" si="9"/>
        <v>319</v>
      </c>
      <c r="N10" s="209" t="s">
        <v>133</v>
      </c>
      <c r="O10" s="305">
        <f t="shared" si="0"/>
        <v>-20</v>
      </c>
      <c r="P10" s="305">
        <f t="shared" si="1"/>
        <v>-11</v>
      </c>
      <c r="Q10" s="305">
        <f t="shared" si="2"/>
        <v>2</v>
      </c>
      <c r="R10" s="305">
        <f t="shared" si="3"/>
        <v>-4</v>
      </c>
      <c r="S10" s="305">
        <f t="shared" si="4"/>
        <v>23</v>
      </c>
      <c r="T10" s="305">
        <f t="shared" si="5"/>
        <v>-7</v>
      </c>
      <c r="U10" s="305">
        <f t="shared" si="6"/>
        <v>9</v>
      </c>
      <c r="V10" s="305">
        <f t="shared" si="7"/>
        <v>2</v>
      </c>
      <c r="W10" s="305">
        <f t="shared" si="8"/>
        <v>-6</v>
      </c>
    </row>
    <row r="11" spans="2:23" x14ac:dyDescent="0.25">
      <c r="B11" s="359"/>
      <c r="C11" s="209" t="s">
        <v>134</v>
      </c>
      <c r="D11" s="210">
        <v>47</v>
      </c>
      <c r="E11" s="210">
        <v>10</v>
      </c>
      <c r="F11" s="210">
        <v>8</v>
      </c>
      <c r="G11" s="210">
        <v>13</v>
      </c>
      <c r="H11" s="210">
        <v>64</v>
      </c>
      <c r="I11" s="210">
        <v>35</v>
      </c>
      <c r="J11" s="210">
        <v>37</v>
      </c>
      <c r="K11" s="210">
        <v>9</v>
      </c>
      <c r="L11" s="210">
        <f t="shared" si="9"/>
        <v>223</v>
      </c>
      <c r="N11" s="209" t="s">
        <v>134</v>
      </c>
      <c r="O11" s="305">
        <f>D11-D27</f>
        <v>8</v>
      </c>
      <c r="P11" s="305">
        <f>E11-E27</f>
        <v>1</v>
      </c>
      <c r="Q11" s="305">
        <f t="shared" si="2"/>
        <v>-1</v>
      </c>
      <c r="R11" s="305">
        <f>G11-G27</f>
        <v>-3</v>
      </c>
      <c r="S11" s="305">
        <f t="shared" si="4"/>
        <v>14</v>
      </c>
      <c r="T11" s="305">
        <f t="shared" si="5"/>
        <v>7</v>
      </c>
      <c r="U11" s="305">
        <f t="shared" si="6"/>
        <v>-7</v>
      </c>
      <c r="V11" s="305">
        <f>K11-K27</f>
        <v>6</v>
      </c>
      <c r="W11" s="305">
        <f t="shared" si="8"/>
        <v>25</v>
      </c>
    </row>
    <row r="12" spans="2:23" x14ac:dyDescent="0.25">
      <c r="B12" s="359"/>
      <c r="C12" s="209" t="s">
        <v>135</v>
      </c>
      <c r="D12" s="210">
        <v>79</v>
      </c>
      <c r="E12" s="210">
        <v>12</v>
      </c>
      <c r="F12" s="210">
        <v>19</v>
      </c>
      <c r="G12" s="210">
        <v>16</v>
      </c>
      <c r="H12" s="210">
        <v>73</v>
      </c>
      <c r="I12" s="210">
        <v>32</v>
      </c>
      <c r="J12" s="210">
        <v>54</v>
      </c>
      <c r="K12" s="210">
        <v>9</v>
      </c>
      <c r="L12" s="210">
        <f t="shared" si="9"/>
        <v>294</v>
      </c>
      <c r="N12" s="209" t="s">
        <v>135</v>
      </c>
      <c r="O12" s="305">
        <f t="shared" si="0"/>
        <v>-3</v>
      </c>
      <c r="P12" s="305">
        <f t="shared" si="1"/>
        <v>-9</v>
      </c>
      <c r="Q12" s="305">
        <f t="shared" si="2"/>
        <v>-10</v>
      </c>
      <c r="R12" s="305">
        <f t="shared" si="3"/>
        <v>-5</v>
      </c>
      <c r="S12" s="305">
        <f t="shared" si="4"/>
        <v>5</v>
      </c>
      <c r="T12" s="305">
        <f t="shared" si="5"/>
        <v>-15</v>
      </c>
      <c r="U12" s="305">
        <f t="shared" si="6"/>
        <v>1</v>
      </c>
      <c r="V12" s="305">
        <f t="shared" si="7"/>
        <v>-2</v>
      </c>
      <c r="W12" s="305">
        <f t="shared" si="8"/>
        <v>-38</v>
      </c>
    </row>
    <row r="13" spans="2:23" x14ac:dyDescent="0.25">
      <c r="B13" s="362"/>
      <c r="C13" s="209" t="s">
        <v>136</v>
      </c>
      <c r="D13" s="231">
        <v>77</v>
      </c>
      <c r="E13" s="231">
        <v>25</v>
      </c>
      <c r="F13" s="231">
        <v>49</v>
      </c>
      <c r="G13" s="231">
        <v>20</v>
      </c>
      <c r="H13" s="231">
        <v>98</v>
      </c>
      <c r="I13" s="231">
        <v>62</v>
      </c>
      <c r="J13" s="231">
        <v>97</v>
      </c>
      <c r="K13" s="231">
        <v>14</v>
      </c>
      <c r="L13" s="231">
        <f t="shared" si="9"/>
        <v>442</v>
      </c>
      <c r="N13" s="209" t="s">
        <v>136</v>
      </c>
      <c r="O13" s="305">
        <f t="shared" ref="O13:O16" si="10">D13-D29</f>
        <v>-2</v>
      </c>
      <c r="P13" s="305">
        <f t="shared" ref="P13:P16" si="11">E13-E29</f>
        <v>5</v>
      </c>
      <c r="Q13" s="305">
        <f t="shared" ref="Q13:Q16" si="12">F13-F29</f>
        <v>-10</v>
      </c>
      <c r="R13" s="305">
        <f t="shared" ref="R13:R16" si="13">G13-G29</f>
        <v>4</v>
      </c>
      <c r="S13" s="305">
        <f t="shared" ref="S13:S16" si="14">H13-H29</f>
        <v>19</v>
      </c>
      <c r="T13" s="305">
        <f t="shared" ref="T13:T16" si="15">I13-I29</f>
        <v>16</v>
      </c>
      <c r="U13" s="305">
        <f t="shared" ref="U13:U16" si="16">J13-J29</f>
        <v>51</v>
      </c>
      <c r="V13" s="305">
        <f t="shared" ref="V13:V16" si="17">K13-K29</f>
        <v>-7</v>
      </c>
      <c r="W13" s="305">
        <f t="shared" ref="W13:W15" si="18">L13-L29</f>
        <v>76</v>
      </c>
    </row>
    <row r="14" spans="2:23" x14ac:dyDescent="0.25">
      <c r="B14" s="362"/>
      <c r="C14" s="209" t="s">
        <v>137</v>
      </c>
      <c r="D14" s="231">
        <v>81</v>
      </c>
      <c r="E14" s="231">
        <v>19</v>
      </c>
      <c r="F14" s="231">
        <v>26</v>
      </c>
      <c r="G14" s="231">
        <v>14</v>
      </c>
      <c r="H14" s="231">
        <v>90</v>
      </c>
      <c r="I14" s="231">
        <v>36</v>
      </c>
      <c r="J14" s="231">
        <v>71</v>
      </c>
      <c r="K14" s="231">
        <v>10</v>
      </c>
      <c r="L14" s="231">
        <f t="shared" si="9"/>
        <v>347</v>
      </c>
      <c r="N14" s="209" t="s">
        <v>137</v>
      </c>
      <c r="O14" s="305">
        <f t="shared" si="10"/>
        <v>-5</v>
      </c>
      <c r="P14" s="305">
        <f t="shared" si="11"/>
        <v>-4</v>
      </c>
      <c r="Q14" s="305">
        <f t="shared" si="12"/>
        <v>8</v>
      </c>
      <c r="R14" s="305">
        <f t="shared" si="13"/>
        <v>-8</v>
      </c>
      <c r="S14" s="305">
        <f t="shared" si="14"/>
        <v>26</v>
      </c>
      <c r="T14" s="305">
        <f t="shared" si="15"/>
        <v>-18</v>
      </c>
      <c r="U14" s="305">
        <f t="shared" si="16"/>
        <v>7</v>
      </c>
      <c r="V14" s="305">
        <f>K14-K30</f>
        <v>0</v>
      </c>
      <c r="W14" s="305">
        <f t="shared" si="18"/>
        <v>6</v>
      </c>
    </row>
    <row r="15" spans="2:23" x14ac:dyDescent="0.25">
      <c r="B15" s="362"/>
      <c r="C15" s="209" t="s">
        <v>138</v>
      </c>
      <c r="D15" s="231">
        <v>63</v>
      </c>
      <c r="E15" s="231">
        <v>15</v>
      </c>
      <c r="F15" s="231">
        <v>25</v>
      </c>
      <c r="G15" s="231">
        <v>19</v>
      </c>
      <c r="H15" s="231">
        <v>58</v>
      </c>
      <c r="I15" s="231">
        <v>36</v>
      </c>
      <c r="J15" s="231">
        <v>46</v>
      </c>
      <c r="K15" s="231">
        <v>8</v>
      </c>
      <c r="L15" s="231">
        <f t="shared" si="9"/>
        <v>270</v>
      </c>
      <c r="N15" s="209" t="s">
        <v>138</v>
      </c>
      <c r="O15" s="305">
        <f t="shared" si="10"/>
        <v>7</v>
      </c>
      <c r="P15" s="305">
        <f t="shared" si="11"/>
        <v>-6</v>
      </c>
      <c r="Q15" s="305">
        <f t="shared" si="12"/>
        <v>6</v>
      </c>
      <c r="R15" s="305">
        <f t="shared" si="13"/>
        <v>-2</v>
      </c>
      <c r="S15" s="305">
        <f t="shared" si="14"/>
        <v>-19</v>
      </c>
      <c r="T15" s="305">
        <f t="shared" si="15"/>
        <v>4</v>
      </c>
      <c r="U15" s="305">
        <f t="shared" si="16"/>
        <v>-3</v>
      </c>
      <c r="V15" s="305">
        <f t="shared" si="17"/>
        <v>-3</v>
      </c>
      <c r="W15" s="305">
        <f t="shared" si="18"/>
        <v>-16</v>
      </c>
    </row>
    <row r="16" spans="2:23" x14ac:dyDescent="0.25">
      <c r="B16" s="362"/>
      <c r="C16" s="322" t="s">
        <v>28</v>
      </c>
      <c r="D16" s="323">
        <f>SUM(D4:D15)</f>
        <v>981</v>
      </c>
      <c r="E16" s="323">
        <f t="shared" ref="E16:L16" si="19">SUM(E4:E15)</f>
        <v>219</v>
      </c>
      <c r="F16" s="323">
        <f t="shared" si="19"/>
        <v>262</v>
      </c>
      <c r="G16" s="323">
        <f t="shared" si="19"/>
        <v>221</v>
      </c>
      <c r="H16" s="323">
        <f t="shared" si="19"/>
        <v>969</v>
      </c>
      <c r="I16" s="323">
        <f t="shared" si="19"/>
        <v>566</v>
      </c>
      <c r="J16" s="323">
        <f t="shared" si="19"/>
        <v>788</v>
      </c>
      <c r="K16" s="323">
        <f t="shared" si="19"/>
        <v>134</v>
      </c>
      <c r="L16" s="324">
        <f t="shared" si="19"/>
        <v>4140</v>
      </c>
      <c r="N16" s="322" t="s">
        <v>28</v>
      </c>
      <c r="O16" s="319">
        <f t="shared" si="10"/>
        <v>43</v>
      </c>
      <c r="P16" s="319">
        <f t="shared" si="11"/>
        <v>-30</v>
      </c>
      <c r="Q16" s="319">
        <f t="shared" si="12"/>
        <v>5</v>
      </c>
      <c r="R16" s="319">
        <f t="shared" si="13"/>
        <v>-25</v>
      </c>
      <c r="S16" s="319">
        <f t="shared" si="14"/>
        <v>101</v>
      </c>
      <c r="T16" s="319">
        <f t="shared" si="15"/>
        <v>2</v>
      </c>
      <c r="U16" s="319">
        <f t="shared" si="16"/>
        <v>126</v>
      </c>
      <c r="V16" s="319">
        <f t="shared" si="17"/>
        <v>-20</v>
      </c>
      <c r="W16" s="319">
        <f>L16-L32</f>
        <v>202</v>
      </c>
    </row>
    <row r="18" spans="2:23" ht="18.75" x14ac:dyDescent="0.3">
      <c r="N18" s="206" t="s">
        <v>199</v>
      </c>
      <c r="O18" s="206"/>
    </row>
    <row r="19" spans="2:23" ht="45" x14ac:dyDescent="0.25">
      <c r="C19" s="211" t="s">
        <v>126</v>
      </c>
      <c r="D19" s="211" t="s">
        <v>17</v>
      </c>
      <c r="E19" s="212" t="s">
        <v>145</v>
      </c>
      <c r="F19" s="212" t="s">
        <v>140</v>
      </c>
      <c r="G19" s="212" t="s">
        <v>141</v>
      </c>
      <c r="H19" s="212" t="s">
        <v>142</v>
      </c>
      <c r="I19" s="212" t="s">
        <v>143</v>
      </c>
      <c r="J19" s="212" t="s">
        <v>16</v>
      </c>
      <c r="K19" s="212" t="s">
        <v>139</v>
      </c>
      <c r="L19" s="212" t="s">
        <v>28</v>
      </c>
      <c r="N19" s="211" t="s">
        <v>126</v>
      </c>
      <c r="O19" s="211" t="s">
        <v>17</v>
      </c>
      <c r="P19" s="212" t="s">
        <v>147</v>
      </c>
      <c r="Q19" s="212" t="s">
        <v>140</v>
      </c>
      <c r="R19" s="212" t="s">
        <v>141</v>
      </c>
      <c r="S19" s="212" t="s">
        <v>142</v>
      </c>
      <c r="T19" s="212" t="s">
        <v>143</v>
      </c>
      <c r="U19" s="212" t="s">
        <v>16</v>
      </c>
      <c r="V19" s="212" t="s">
        <v>139</v>
      </c>
      <c r="W19" s="212" t="s">
        <v>28</v>
      </c>
    </row>
    <row r="20" spans="2:23" x14ac:dyDescent="0.25">
      <c r="B20" s="359">
        <v>2019</v>
      </c>
      <c r="C20" s="209" t="s">
        <v>127</v>
      </c>
      <c r="D20" s="210">
        <v>106</v>
      </c>
      <c r="E20" s="210">
        <v>26</v>
      </c>
      <c r="F20" s="210">
        <v>19</v>
      </c>
      <c r="G20" s="210">
        <v>26</v>
      </c>
      <c r="H20" s="210">
        <v>91</v>
      </c>
      <c r="I20" s="210">
        <v>63</v>
      </c>
      <c r="J20" s="210">
        <v>68</v>
      </c>
      <c r="K20" s="210">
        <v>13</v>
      </c>
      <c r="L20">
        <f t="shared" ref="L20:L31" si="20">SUM(D20:K20)</f>
        <v>412</v>
      </c>
      <c r="N20" s="209" t="s">
        <v>127</v>
      </c>
      <c r="O20" s="306">
        <f t="shared" ref="O20:O28" si="21">O4/D20</f>
        <v>-0.16037735849056603</v>
      </c>
      <c r="P20" s="306">
        <f t="shared" ref="P20:W20" si="22">P4/E20</f>
        <v>-0.23076923076923078</v>
      </c>
      <c r="Q20" s="306">
        <f t="shared" si="22"/>
        <v>-0.15789473684210525</v>
      </c>
      <c r="R20" s="306">
        <f t="shared" si="22"/>
        <v>-0.15384615384615385</v>
      </c>
      <c r="S20" s="306">
        <f t="shared" si="22"/>
        <v>-5.4945054945054944E-2</v>
      </c>
      <c r="T20" s="306">
        <f t="shared" si="22"/>
        <v>0.12698412698412698</v>
      </c>
      <c r="U20" s="306">
        <f t="shared" si="22"/>
        <v>-1.4705882352941176E-2</v>
      </c>
      <c r="V20" s="306">
        <f t="shared" si="22"/>
        <v>7.6923076923076927E-2</v>
      </c>
      <c r="W20" s="306">
        <f t="shared" si="22"/>
        <v>-6.553398058252427E-2</v>
      </c>
    </row>
    <row r="21" spans="2:23" x14ac:dyDescent="0.25">
      <c r="B21" s="359"/>
      <c r="C21" s="209" t="s">
        <v>128</v>
      </c>
      <c r="D21" s="210">
        <v>75</v>
      </c>
      <c r="E21" s="210">
        <v>19</v>
      </c>
      <c r="F21" s="210">
        <v>19</v>
      </c>
      <c r="G21" s="210">
        <v>25</v>
      </c>
      <c r="H21" s="210">
        <v>78</v>
      </c>
      <c r="I21" s="210">
        <v>60</v>
      </c>
      <c r="J21" s="210">
        <v>55</v>
      </c>
      <c r="K21" s="210">
        <v>18</v>
      </c>
      <c r="L21">
        <f t="shared" si="20"/>
        <v>349</v>
      </c>
      <c r="N21" s="209" t="s">
        <v>128</v>
      </c>
      <c r="O21" s="306">
        <f t="shared" si="21"/>
        <v>0.32</v>
      </c>
      <c r="P21" s="306">
        <f t="shared" ref="P21:W28" si="23">P5/E21</f>
        <v>0.15789473684210525</v>
      </c>
      <c r="Q21" s="306">
        <f t="shared" si="23"/>
        <v>0</v>
      </c>
      <c r="R21" s="306">
        <f t="shared" si="23"/>
        <v>0.04</v>
      </c>
      <c r="S21" s="306">
        <f t="shared" si="23"/>
        <v>0</v>
      </c>
      <c r="T21" s="306">
        <f t="shared" si="23"/>
        <v>-0.15</v>
      </c>
      <c r="U21" s="306">
        <f t="shared" si="23"/>
        <v>0.4</v>
      </c>
      <c r="V21" s="306">
        <f t="shared" si="23"/>
        <v>-0.22222222222222221</v>
      </c>
      <c r="W21" s="306">
        <f t="shared" si="23"/>
        <v>0.10601719197707736</v>
      </c>
    </row>
    <row r="22" spans="2:23" x14ac:dyDescent="0.25">
      <c r="B22" s="359"/>
      <c r="C22" s="209" t="s">
        <v>129</v>
      </c>
      <c r="D22" s="210">
        <v>94</v>
      </c>
      <c r="E22" s="210">
        <v>22</v>
      </c>
      <c r="F22" s="210">
        <v>20</v>
      </c>
      <c r="G22" s="210">
        <v>18</v>
      </c>
      <c r="H22" s="210">
        <v>101</v>
      </c>
      <c r="I22" s="210">
        <v>54</v>
      </c>
      <c r="J22" s="210">
        <v>72</v>
      </c>
      <c r="K22" s="210">
        <v>19</v>
      </c>
      <c r="L22">
        <f t="shared" si="20"/>
        <v>400</v>
      </c>
      <c r="N22" s="209" t="s">
        <v>129</v>
      </c>
      <c r="O22" s="306">
        <f t="shared" si="21"/>
        <v>0.10638297872340426</v>
      </c>
      <c r="P22" s="306">
        <f t="shared" si="23"/>
        <v>-4.5454545454545456E-2</v>
      </c>
      <c r="Q22" s="306">
        <f t="shared" si="23"/>
        <v>0.05</v>
      </c>
      <c r="R22" s="306">
        <f t="shared" si="23"/>
        <v>0.27777777777777779</v>
      </c>
      <c r="S22" s="306">
        <f t="shared" si="23"/>
        <v>-0.16831683168316833</v>
      </c>
      <c r="T22" s="306">
        <f t="shared" si="23"/>
        <v>0.16666666666666666</v>
      </c>
      <c r="U22" s="306">
        <f t="shared" si="23"/>
        <v>1.3888888888888888E-2</v>
      </c>
      <c r="V22" s="306">
        <f t="shared" si="23"/>
        <v>-0.36842105263157893</v>
      </c>
      <c r="W22" s="306">
        <f t="shared" si="23"/>
        <v>2.5000000000000001E-3</v>
      </c>
    </row>
    <row r="23" spans="2:23" x14ac:dyDescent="0.25">
      <c r="B23" s="359"/>
      <c r="C23" s="209" t="s">
        <v>130</v>
      </c>
      <c r="D23" s="210">
        <v>77</v>
      </c>
      <c r="E23" s="210">
        <v>19</v>
      </c>
      <c r="F23" s="210">
        <v>14</v>
      </c>
      <c r="G23" s="210">
        <v>19</v>
      </c>
      <c r="H23" s="210">
        <v>65</v>
      </c>
      <c r="I23" s="210">
        <v>51</v>
      </c>
      <c r="J23" s="210">
        <v>54</v>
      </c>
      <c r="K23" s="210">
        <v>14</v>
      </c>
      <c r="L23">
        <f t="shared" si="20"/>
        <v>313</v>
      </c>
      <c r="N23" s="209" t="s">
        <v>130</v>
      </c>
      <c r="O23" s="306">
        <f t="shared" si="21"/>
        <v>0.29870129870129869</v>
      </c>
      <c r="P23" s="306">
        <f t="shared" si="23"/>
        <v>0.26315789473684209</v>
      </c>
      <c r="Q23" s="306">
        <f t="shared" si="23"/>
        <v>0.5714285714285714</v>
      </c>
      <c r="R23" s="306">
        <f t="shared" si="23"/>
        <v>0.10526315789473684</v>
      </c>
      <c r="S23" s="306">
        <f t="shared" si="23"/>
        <v>0.33846153846153848</v>
      </c>
      <c r="T23" s="306">
        <f t="shared" si="23"/>
        <v>-5.8823529411764705E-2</v>
      </c>
      <c r="U23" s="306">
        <f t="shared" si="23"/>
        <v>0.46296296296296297</v>
      </c>
      <c r="V23" s="306">
        <f t="shared" si="23"/>
        <v>-0.42857142857142855</v>
      </c>
      <c r="W23" s="306">
        <f t="shared" si="23"/>
        <v>0.24281150159744408</v>
      </c>
    </row>
    <row r="24" spans="2:23" x14ac:dyDescent="0.25">
      <c r="B24" s="359"/>
      <c r="C24" s="209" t="s">
        <v>131</v>
      </c>
      <c r="D24" s="210">
        <v>77</v>
      </c>
      <c r="E24" s="210">
        <v>22</v>
      </c>
      <c r="F24" s="210">
        <v>29</v>
      </c>
      <c r="G24" s="210">
        <v>28</v>
      </c>
      <c r="H24" s="210">
        <v>68</v>
      </c>
      <c r="I24" s="210">
        <v>47</v>
      </c>
      <c r="J24" s="210">
        <v>62</v>
      </c>
      <c r="K24" s="210">
        <v>14</v>
      </c>
      <c r="L24">
        <f t="shared" si="20"/>
        <v>347</v>
      </c>
      <c r="N24" s="209" t="s">
        <v>131</v>
      </c>
      <c r="O24" s="306">
        <f t="shared" si="21"/>
        <v>5.1948051948051951E-2</v>
      </c>
      <c r="P24" s="306">
        <f t="shared" si="23"/>
        <v>9.0909090909090912E-2</v>
      </c>
      <c r="Q24" s="306">
        <f t="shared" si="23"/>
        <v>0.20689655172413793</v>
      </c>
      <c r="R24" s="306">
        <f t="shared" si="23"/>
        <v>-0.35714285714285715</v>
      </c>
      <c r="S24" s="306">
        <f t="shared" si="23"/>
        <v>0.30882352941176472</v>
      </c>
      <c r="T24" s="306">
        <f t="shared" si="23"/>
        <v>-8.5106382978723402E-2</v>
      </c>
      <c r="U24" s="306">
        <f t="shared" si="23"/>
        <v>6.4516129032258063E-2</v>
      </c>
      <c r="V24" s="306">
        <f t="shared" si="23"/>
        <v>-0.21428571428571427</v>
      </c>
      <c r="W24" s="306">
        <f t="shared" si="23"/>
        <v>5.7636887608069162E-2</v>
      </c>
    </row>
    <row r="25" spans="2:23" x14ac:dyDescent="0.25">
      <c r="B25" s="359"/>
      <c r="C25" s="209" t="s">
        <v>132</v>
      </c>
      <c r="D25" s="210">
        <v>68</v>
      </c>
      <c r="E25" s="210">
        <v>23</v>
      </c>
      <c r="F25" s="210">
        <v>11</v>
      </c>
      <c r="G25" s="210">
        <v>16</v>
      </c>
      <c r="H25" s="210">
        <v>66</v>
      </c>
      <c r="I25" s="210">
        <v>37</v>
      </c>
      <c r="J25" s="210">
        <v>38</v>
      </c>
      <c r="K25" s="210">
        <v>10</v>
      </c>
      <c r="L25">
        <f t="shared" si="20"/>
        <v>269</v>
      </c>
      <c r="N25" s="209" t="s">
        <v>132</v>
      </c>
      <c r="O25" s="306">
        <f t="shared" si="21"/>
        <v>0.20588235294117646</v>
      </c>
      <c r="P25" s="306">
        <f t="shared" si="23"/>
        <v>-0.39130434782608697</v>
      </c>
      <c r="Q25" s="306">
        <f t="shared" si="23"/>
        <v>-0.18181818181818182</v>
      </c>
      <c r="R25" s="306">
        <f t="shared" si="23"/>
        <v>-6.25E-2</v>
      </c>
      <c r="S25" s="306">
        <f t="shared" si="23"/>
        <v>0.18181818181818182</v>
      </c>
      <c r="T25" s="306">
        <f t="shared" si="23"/>
        <v>0.3783783783783784</v>
      </c>
      <c r="U25" s="306">
        <f t="shared" si="23"/>
        <v>0.44736842105263158</v>
      </c>
      <c r="V25" s="306">
        <f t="shared" si="23"/>
        <v>0.3</v>
      </c>
      <c r="W25" s="306">
        <f t="shared" si="23"/>
        <v>0.17843866171003717</v>
      </c>
    </row>
    <row r="26" spans="2:23" x14ac:dyDescent="0.25">
      <c r="B26" s="359"/>
      <c r="C26" s="209" t="s">
        <v>133</v>
      </c>
      <c r="D26" s="210">
        <v>99</v>
      </c>
      <c r="E26" s="210">
        <v>24</v>
      </c>
      <c r="F26" s="210">
        <v>11</v>
      </c>
      <c r="G26" s="210">
        <v>18</v>
      </c>
      <c r="H26" s="210">
        <v>61</v>
      </c>
      <c r="I26" s="210">
        <v>45</v>
      </c>
      <c r="J26" s="210">
        <v>57</v>
      </c>
      <c r="K26" s="210">
        <v>10</v>
      </c>
      <c r="L26">
        <f t="shared" si="20"/>
        <v>325</v>
      </c>
      <c r="N26" s="209" t="s">
        <v>133</v>
      </c>
      <c r="O26" s="306">
        <f t="shared" si="21"/>
        <v>-0.20202020202020202</v>
      </c>
      <c r="P26" s="306">
        <f t="shared" si="23"/>
        <v>-0.45833333333333331</v>
      </c>
      <c r="Q26" s="306">
        <f t="shared" si="23"/>
        <v>0.18181818181818182</v>
      </c>
      <c r="R26" s="306">
        <f t="shared" si="23"/>
        <v>-0.22222222222222221</v>
      </c>
      <c r="S26" s="306">
        <f t="shared" si="23"/>
        <v>0.37704918032786883</v>
      </c>
      <c r="T26" s="306">
        <f t="shared" si="23"/>
        <v>-0.15555555555555556</v>
      </c>
      <c r="U26" s="306">
        <f t="shared" si="23"/>
        <v>0.15789473684210525</v>
      </c>
      <c r="V26" s="306">
        <f t="shared" si="23"/>
        <v>0.2</v>
      </c>
      <c r="W26" s="306">
        <f t="shared" si="23"/>
        <v>-1.8461538461538463E-2</v>
      </c>
    </row>
    <row r="27" spans="2:23" x14ac:dyDescent="0.25">
      <c r="B27" s="359"/>
      <c r="C27" s="209" t="s">
        <v>134</v>
      </c>
      <c r="D27" s="210">
        <v>39</v>
      </c>
      <c r="E27" s="210">
        <v>9</v>
      </c>
      <c r="F27" s="210">
        <v>9</v>
      </c>
      <c r="G27" s="210">
        <v>16</v>
      </c>
      <c r="H27" s="210">
        <v>50</v>
      </c>
      <c r="I27" s="210">
        <v>28</v>
      </c>
      <c r="J27" s="210">
        <v>44</v>
      </c>
      <c r="K27" s="210">
        <v>3</v>
      </c>
      <c r="L27">
        <f t="shared" si="20"/>
        <v>198</v>
      </c>
      <c r="N27" s="209" t="s">
        <v>134</v>
      </c>
      <c r="O27" s="306">
        <f>O11/D27</f>
        <v>0.20512820512820512</v>
      </c>
      <c r="P27" s="306">
        <f>P11/E27</f>
        <v>0.1111111111111111</v>
      </c>
      <c r="Q27" s="306">
        <f t="shared" si="23"/>
        <v>-0.1111111111111111</v>
      </c>
      <c r="R27" s="306">
        <f>R11/G27</f>
        <v>-0.1875</v>
      </c>
      <c r="S27" s="306">
        <f t="shared" si="23"/>
        <v>0.28000000000000003</v>
      </c>
      <c r="T27" s="306">
        <f t="shared" si="23"/>
        <v>0.25</v>
      </c>
      <c r="U27" s="306">
        <f t="shared" si="23"/>
        <v>-0.15909090909090909</v>
      </c>
      <c r="V27" s="306">
        <f>V11/K27</f>
        <v>2</v>
      </c>
      <c r="W27" s="306">
        <f t="shared" si="23"/>
        <v>0.12626262626262627</v>
      </c>
    </row>
    <row r="28" spans="2:23" x14ac:dyDescent="0.25">
      <c r="B28" s="359"/>
      <c r="C28" s="209" t="s">
        <v>135</v>
      </c>
      <c r="D28" s="210">
        <v>82</v>
      </c>
      <c r="E28" s="210">
        <v>21</v>
      </c>
      <c r="F28" s="210">
        <v>29</v>
      </c>
      <c r="G28" s="210">
        <v>21</v>
      </c>
      <c r="H28" s="210">
        <v>68</v>
      </c>
      <c r="I28" s="210">
        <v>47</v>
      </c>
      <c r="J28" s="210">
        <v>53</v>
      </c>
      <c r="K28" s="210">
        <v>11</v>
      </c>
      <c r="L28">
        <f t="shared" si="20"/>
        <v>332</v>
      </c>
      <c r="N28" s="209" t="s">
        <v>135</v>
      </c>
      <c r="O28" s="306">
        <f t="shared" si="21"/>
        <v>-3.6585365853658534E-2</v>
      </c>
      <c r="P28" s="306">
        <f t="shared" si="23"/>
        <v>-0.42857142857142855</v>
      </c>
      <c r="Q28" s="306">
        <f t="shared" si="23"/>
        <v>-0.34482758620689657</v>
      </c>
      <c r="R28" s="306">
        <f t="shared" si="23"/>
        <v>-0.23809523809523808</v>
      </c>
      <c r="S28" s="306">
        <f t="shared" si="23"/>
        <v>7.3529411764705885E-2</v>
      </c>
      <c r="T28" s="306">
        <f t="shared" si="23"/>
        <v>-0.31914893617021278</v>
      </c>
      <c r="U28" s="306">
        <f t="shared" si="23"/>
        <v>1.8867924528301886E-2</v>
      </c>
      <c r="V28" s="306">
        <f t="shared" si="23"/>
        <v>-0.18181818181818182</v>
      </c>
      <c r="W28" s="306">
        <f t="shared" si="23"/>
        <v>-0.1144578313253012</v>
      </c>
    </row>
    <row r="29" spans="2:23" x14ac:dyDescent="0.25">
      <c r="B29" s="360"/>
      <c r="C29" s="209" t="s">
        <v>136</v>
      </c>
      <c r="D29" s="210">
        <v>79</v>
      </c>
      <c r="E29" s="210">
        <v>20</v>
      </c>
      <c r="F29" s="210">
        <v>59</v>
      </c>
      <c r="G29" s="210">
        <v>16</v>
      </c>
      <c r="H29" s="210">
        <v>79</v>
      </c>
      <c r="I29" s="210">
        <v>46</v>
      </c>
      <c r="J29" s="210">
        <v>46</v>
      </c>
      <c r="K29" s="210">
        <v>21</v>
      </c>
      <c r="L29">
        <f t="shared" si="20"/>
        <v>366</v>
      </c>
      <c r="N29" s="209" t="s">
        <v>136</v>
      </c>
      <c r="O29" s="306">
        <f t="shared" ref="O29:O32" si="24">O13/D29</f>
        <v>-2.5316455696202531E-2</v>
      </c>
      <c r="P29" s="306">
        <f t="shared" ref="P29:P32" si="25">P13/E29</f>
        <v>0.25</v>
      </c>
      <c r="Q29" s="306">
        <f t="shared" ref="Q29:Q32" si="26">Q13/F29</f>
        <v>-0.16949152542372881</v>
      </c>
      <c r="R29" s="306">
        <f t="shared" ref="R29:R32" si="27">R13/G29</f>
        <v>0.25</v>
      </c>
      <c r="S29" s="306">
        <f t="shared" ref="S29:S32" si="28">S13/H29</f>
        <v>0.24050632911392406</v>
      </c>
      <c r="T29" s="306">
        <f t="shared" ref="T29:T32" si="29">T13/I29</f>
        <v>0.34782608695652173</v>
      </c>
      <c r="U29" s="306">
        <f t="shared" ref="U29:U32" si="30">U13/J29</f>
        <v>1.1086956521739131</v>
      </c>
      <c r="V29" s="306">
        <f t="shared" ref="V29:V32" si="31">V13/K29</f>
        <v>-0.33333333333333331</v>
      </c>
      <c r="W29" s="306">
        <f t="shared" ref="W29:W32" si="32">W13/L29</f>
        <v>0.20765027322404372</v>
      </c>
    </row>
    <row r="30" spans="2:23" x14ac:dyDescent="0.25">
      <c r="B30" s="360"/>
      <c r="C30" s="209" t="s">
        <v>137</v>
      </c>
      <c r="D30" s="210">
        <v>86</v>
      </c>
      <c r="E30" s="210">
        <v>23</v>
      </c>
      <c r="F30" s="210">
        <v>18</v>
      </c>
      <c r="G30" s="210">
        <v>22</v>
      </c>
      <c r="H30" s="210">
        <v>64</v>
      </c>
      <c r="I30" s="210">
        <v>54</v>
      </c>
      <c r="J30" s="210">
        <v>64</v>
      </c>
      <c r="K30" s="210">
        <v>10</v>
      </c>
      <c r="L30">
        <f t="shared" si="20"/>
        <v>341</v>
      </c>
      <c r="N30" s="209" t="s">
        <v>137</v>
      </c>
      <c r="O30" s="306">
        <f t="shared" si="24"/>
        <v>-5.8139534883720929E-2</v>
      </c>
      <c r="P30" s="306">
        <f t="shared" si="25"/>
        <v>-0.17391304347826086</v>
      </c>
      <c r="Q30" s="306">
        <f>Q14/F30</f>
        <v>0.44444444444444442</v>
      </c>
      <c r="R30" s="306">
        <f t="shared" si="27"/>
        <v>-0.36363636363636365</v>
      </c>
      <c r="S30" s="306">
        <f t="shared" si="28"/>
        <v>0.40625</v>
      </c>
      <c r="T30" s="306">
        <f t="shared" si="29"/>
        <v>-0.33333333333333331</v>
      </c>
      <c r="U30" s="306">
        <f t="shared" si="30"/>
        <v>0.109375</v>
      </c>
      <c r="V30" s="306">
        <f t="shared" si="31"/>
        <v>0</v>
      </c>
      <c r="W30" s="306">
        <f t="shared" si="32"/>
        <v>1.7595307917888565E-2</v>
      </c>
    </row>
    <row r="31" spans="2:23" x14ac:dyDescent="0.25">
      <c r="B31" s="360"/>
      <c r="C31" s="209" t="s">
        <v>138</v>
      </c>
      <c r="D31" s="210">
        <v>56</v>
      </c>
      <c r="E31" s="210">
        <v>21</v>
      </c>
      <c r="F31" s="210">
        <v>19</v>
      </c>
      <c r="G31" s="210">
        <v>21</v>
      </c>
      <c r="H31" s="210">
        <v>77</v>
      </c>
      <c r="I31" s="210">
        <v>32</v>
      </c>
      <c r="J31" s="210">
        <v>49</v>
      </c>
      <c r="K31" s="210">
        <v>11</v>
      </c>
      <c r="L31">
        <f t="shared" si="20"/>
        <v>286</v>
      </c>
      <c r="N31" s="209" t="s">
        <v>138</v>
      </c>
      <c r="O31" s="306">
        <f t="shared" si="24"/>
        <v>0.125</v>
      </c>
      <c r="P31" s="306">
        <f t="shared" si="25"/>
        <v>-0.2857142857142857</v>
      </c>
      <c r="Q31" s="306">
        <f t="shared" si="26"/>
        <v>0.31578947368421051</v>
      </c>
      <c r="R31" s="306">
        <f t="shared" si="27"/>
        <v>-9.5238095238095233E-2</v>
      </c>
      <c r="S31" s="306">
        <f t="shared" si="28"/>
        <v>-0.24675324675324675</v>
      </c>
      <c r="T31" s="306">
        <f t="shared" si="29"/>
        <v>0.125</v>
      </c>
      <c r="U31" s="306">
        <f t="shared" si="30"/>
        <v>-6.1224489795918366E-2</v>
      </c>
      <c r="V31" s="306">
        <f t="shared" si="31"/>
        <v>-0.27272727272727271</v>
      </c>
      <c r="W31" s="306">
        <f t="shared" si="32"/>
        <v>-5.5944055944055944E-2</v>
      </c>
    </row>
    <row r="32" spans="2:23" x14ac:dyDescent="0.25">
      <c r="B32" s="361"/>
      <c r="C32" s="322" t="s">
        <v>28</v>
      </c>
      <c r="D32" s="323">
        <f>SUM(D20:D31)</f>
        <v>938</v>
      </c>
      <c r="E32" s="323">
        <f t="shared" ref="E32:L32" si="33">SUM(E20:E31)</f>
        <v>249</v>
      </c>
      <c r="F32" s="323">
        <f t="shared" si="33"/>
        <v>257</v>
      </c>
      <c r="G32" s="323">
        <f t="shared" si="33"/>
        <v>246</v>
      </c>
      <c r="H32" s="323">
        <f t="shared" si="33"/>
        <v>868</v>
      </c>
      <c r="I32" s="323">
        <f t="shared" si="33"/>
        <v>564</v>
      </c>
      <c r="J32" s="323">
        <f t="shared" si="33"/>
        <v>662</v>
      </c>
      <c r="K32" s="323">
        <f t="shared" si="33"/>
        <v>154</v>
      </c>
      <c r="L32" s="320">
        <f t="shared" si="33"/>
        <v>3938</v>
      </c>
      <c r="N32" s="322" t="s">
        <v>28</v>
      </c>
      <c r="O32" s="325">
        <f t="shared" si="24"/>
        <v>4.5842217484008532E-2</v>
      </c>
      <c r="P32" s="325">
        <f t="shared" si="25"/>
        <v>-0.12048192771084337</v>
      </c>
      <c r="Q32" s="325">
        <f t="shared" si="26"/>
        <v>1.9455252918287938E-2</v>
      </c>
      <c r="R32" s="325">
        <f t="shared" si="27"/>
        <v>-0.1016260162601626</v>
      </c>
      <c r="S32" s="325">
        <f t="shared" si="28"/>
        <v>0.11635944700460829</v>
      </c>
      <c r="T32" s="325">
        <f t="shared" si="29"/>
        <v>3.5460992907801418E-3</v>
      </c>
      <c r="U32" s="325">
        <f t="shared" si="30"/>
        <v>0.19033232628398791</v>
      </c>
      <c r="V32" s="325">
        <f t="shared" si="31"/>
        <v>-0.12987012987012986</v>
      </c>
      <c r="W32" s="325">
        <f t="shared" si="32"/>
        <v>5.1295073641442354E-2</v>
      </c>
    </row>
  </sheetData>
  <mergeCells count="2">
    <mergeCell ref="B20:B32"/>
    <mergeCell ref="B4:B16"/>
  </mergeCells>
  <conditionalFormatting sqref="O4:W16">
    <cfRule type="cellIs" dxfId="3" priority="4" operator="greaterThan">
      <formula>9</formula>
    </cfRule>
    <cfRule type="cellIs" dxfId="2" priority="3" operator="lessThan">
      <formula>-9</formula>
    </cfRule>
  </conditionalFormatting>
  <conditionalFormatting sqref="O20:W32">
    <cfRule type="cellIs" dxfId="1" priority="2" operator="greaterThan">
      <formula>0.099</formula>
    </cfRule>
    <cfRule type="cellIs" dxfId="0" priority="1" operator="lessThan">
      <formula>-0.099</formula>
    </cfRule>
  </conditionalFormatting>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2:I19"/>
  <sheetViews>
    <sheetView topLeftCell="A13" workbookViewId="0">
      <selection activeCell="O24" sqref="O24"/>
    </sheetView>
  </sheetViews>
  <sheetFormatPr baseColWidth="10" defaultRowHeight="15" x14ac:dyDescent="0.25"/>
  <sheetData>
    <row r="2" spans="1:9" x14ac:dyDescent="0.25">
      <c r="A2" s="45" t="s">
        <v>84</v>
      </c>
    </row>
    <row r="3" spans="1:9" x14ac:dyDescent="0.25">
      <c r="A3" t="s">
        <v>193</v>
      </c>
    </row>
    <row r="5" spans="1:9" x14ac:dyDescent="0.25">
      <c r="A5" t="s">
        <v>149</v>
      </c>
    </row>
    <row r="7" spans="1:9" ht="121.9" customHeight="1" x14ac:dyDescent="0.25">
      <c r="A7" s="363" t="s">
        <v>150</v>
      </c>
      <c r="B7" s="363"/>
      <c r="C7" s="363"/>
      <c r="D7" s="363"/>
      <c r="E7" s="363"/>
      <c r="F7" s="363"/>
      <c r="G7" s="363"/>
      <c r="H7" s="363"/>
      <c r="I7" s="363"/>
    </row>
    <row r="10" spans="1:9" x14ac:dyDescent="0.25">
      <c r="A10" s="163" t="s">
        <v>85</v>
      </c>
    </row>
    <row r="11" spans="1:9" ht="62.1" customHeight="1" x14ac:dyDescent="0.25">
      <c r="A11" s="363" t="s">
        <v>86</v>
      </c>
      <c r="B11" s="363"/>
      <c r="C11" s="363"/>
      <c r="D11" s="363"/>
      <c r="E11" s="363"/>
      <c r="F11" s="363"/>
      <c r="G11" s="363"/>
      <c r="H11" s="363"/>
      <c r="I11" s="363"/>
    </row>
    <row r="13" spans="1:9" ht="110.1" customHeight="1" x14ac:dyDescent="0.25">
      <c r="A13" s="363" t="s">
        <v>87</v>
      </c>
      <c r="B13" s="363"/>
      <c r="C13" s="363"/>
      <c r="D13" s="363"/>
      <c r="E13" s="363"/>
      <c r="F13" s="363"/>
      <c r="G13" s="363"/>
      <c r="H13" s="363"/>
      <c r="I13" s="363"/>
    </row>
    <row r="14" spans="1:9" x14ac:dyDescent="0.25">
      <c r="A14" t="s">
        <v>88</v>
      </c>
    </row>
    <row r="15" spans="1:9" x14ac:dyDescent="0.25">
      <c r="A15" t="s">
        <v>89</v>
      </c>
    </row>
    <row r="18" spans="1:1" x14ac:dyDescent="0.25">
      <c r="A18" t="s">
        <v>90</v>
      </c>
    </row>
    <row r="19" spans="1:1" x14ac:dyDescent="0.25">
      <c r="A19" t="s">
        <v>201</v>
      </c>
    </row>
  </sheetData>
  <mergeCells count="3">
    <mergeCell ref="A11:I11"/>
    <mergeCell ref="A13:I13"/>
    <mergeCell ref="A7:I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11</vt:i4>
      </vt:variant>
    </vt:vector>
  </HeadingPairs>
  <TitlesOfParts>
    <vt:vector size="11" baseType="lpstr">
      <vt:lpstr>Titre</vt:lpstr>
      <vt:lpstr>Démographie des asso</vt:lpstr>
      <vt:lpstr>Asso employeuses</vt:lpstr>
      <vt:lpstr>Compléments-Objet</vt:lpstr>
      <vt:lpstr>Compléments-Cat Aires Urbaines</vt:lpstr>
      <vt:lpstr>Subventionnement Etat</vt:lpstr>
      <vt:lpstr>Ann-1 - Asso dissoutes x Objet</vt:lpstr>
      <vt:lpstr>Ann-2 - Asso par arrondissement</vt:lpstr>
      <vt:lpstr>Ann-3 - Créations 2019-2022</vt:lpstr>
      <vt:lpstr>Ann-4 - Créations x objet</vt:lpstr>
      <vt:lpstr>Définitions, sources &amp; autres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Rigaudeau Samuel</cp:lastModifiedBy>
  <cp:lastPrinted>2020-11-10T08:36:38Z</cp:lastPrinted>
  <dcterms:created xsi:type="dcterms:W3CDTF">2018-02-05T13:34:18Z</dcterms:created>
  <dcterms:modified xsi:type="dcterms:W3CDTF">2025-12-16T08:44:58Z</dcterms:modified>
</cp:coreProperties>
</file>